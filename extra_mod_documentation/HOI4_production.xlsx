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RY\"/>
    </mc:Choice>
  </mc:AlternateContent>
  <xr:revisionPtr revIDLastSave="0" documentId="8_{847FF9C4-03D3-492C-9267-74ECD90505AB}" xr6:coauthVersionLast="47" xr6:coauthVersionMax="47" xr10:uidLastSave="{00000000-0000-0000-0000-000000000000}"/>
  <bookViews>
    <workbookView xWindow="2535" yWindow="1365" windowWidth="35280" windowHeight="19305" xr2:uid="{16E67142-3CF1-4EBC-853B-21EA416989A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41" i="1" l="1"/>
  <c r="V440" i="1"/>
  <c r="V433" i="1"/>
  <c r="V431" i="1"/>
  <c r="V430" i="1"/>
  <c r="V428" i="1"/>
  <c r="V427" i="1"/>
  <c r="V426" i="1"/>
  <c r="V425" i="1"/>
  <c r="H424" i="1"/>
  <c r="F424" i="1"/>
  <c r="O423" i="1"/>
  <c r="H423" i="1"/>
  <c r="H422" i="1"/>
  <c r="O422" i="1" s="1"/>
  <c r="O421" i="1"/>
  <c r="H421" i="1"/>
  <c r="H420" i="1"/>
  <c r="O420" i="1" s="1"/>
  <c r="O419" i="1"/>
  <c r="H419" i="1"/>
  <c r="O418" i="1"/>
  <c r="H418" i="1"/>
  <c r="O417" i="1"/>
  <c r="H417" i="1"/>
  <c r="O416" i="1"/>
  <c r="H416" i="1"/>
  <c r="O415" i="1"/>
  <c r="H415" i="1"/>
  <c r="O414" i="1"/>
  <c r="H414" i="1"/>
  <c r="O413" i="1"/>
  <c r="H413" i="1"/>
  <c r="O412" i="1"/>
  <c r="H412" i="1"/>
  <c r="O411" i="1"/>
  <c r="H411" i="1"/>
  <c r="H410" i="1"/>
  <c r="O410" i="1" s="1"/>
  <c r="H409" i="1"/>
  <c r="O409" i="1" s="1"/>
  <c r="H408" i="1"/>
  <c r="O408" i="1" s="1"/>
  <c r="O407" i="1"/>
  <c r="H407" i="1"/>
  <c r="O406" i="1"/>
  <c r="H406" i="1"/>
  <c r="O405" i="1"/>
  <c r="H405" i="1"/>
  <c r="H404" i="1"/>
  <c r="O404" i="1" s="1"/>
  <c r="F400" i="1"/>
  <c r="O399" i="1"/>
  <c r="H399" i="1"/>
  <c r="O398" i="1"/>
  <c r="O397" i="1"/>
  <c r="O396" i="1"/>
  <c r="H396" i="1"/>
  <c r="O395" i="1"/>
  <c r="H395" i="1"/>
  <c r="O394" i="1"/>
  <c r="H394" i="1"/>
  <c r="O393" i="1"/>
  <c r="H393" i="1"/>
  <c r="O392" i="1"/>
  <c r="H392" i="1"/>
  <c r="O391" i="1"/>
  <c r="J391" i="1"/>
  <c r="H391" i="1"/>
  <c r="H400" i="1" s="1"/>
  <c r="O390" i="1"/>
  <c r="O389" i="1"/>
  <c r="H389" i="1"/>
  <c r="O388" i="1"/>
  <c r="O387" i="1"/>
  <c r="F385" i="1"/>
  <c r="I384" i="1"/>
  <c r="G384" i="1"/>
  <c r="G385" i="1" s="1"/>
  <c r="I383" i="1"/>
  <c r="G383" i="1"/>
  <c r="I382" i="1"/>
  <c r="G382" i="1"/>
  <c r="E382" i="1"/>
  <c r="J381" i="1"/>
  <c r="K381" i="1" s="1"/>
  <c r="I381" i="1"/>
  <c r="G381" i="1"/>
  <c r="I380" i="1"/>
  <c r="G380" i="1"/>
  <c r="H377" i="1"/>
  <c r="B370" i="1"/>
  <c r="E356" i="1"/>
  <c r="I351" i="1"/>
  <c r="AB350" i="1"/>
  <c r="Z350" i="1"/>
  <c r="X350" i="1"/>
  <c r="R350" i="1"/>
  <c r="N350" i="1"/>
  <c r="I350" i="1"/>
  <c r="F350" i="1"/>
  <c r="S349" i="1"/>
  <c r="O349" i="1"/>
  <c r="I349" i="1"/>
  <c r="G349" i="1"/>
  <c r="W348" i="1"/>
  <c r="V348" i="1"/>
  <c r="S348" i="1"/>
  <c r="O348" i="1"/>
  <c r="I348" i="1"/>
  <c r="G348" i="1"/>
  <c r="AC347" i="1"/>
  <c r="AA347" i="1"/>
  <c r="Y347" i="1"/>
  <c r="W347" i="1"/>
  <c r="V347" i="1"/>
  <c r="S347" i="1"/>
  <c r="I347" i="1"/>
  <c r="G347" i="1"/>
  <c r="AC346" i="1"/>
  <c r="AA346" i="1"/>
  <c r="Y346" i="1"/>
  <c r="W346" i="1"/>
  <c r="V346" i="1"/>
  <c r="S346" i="1"/>
  <c r="I346" i="1"/>
  <c r="G346" i="1"/>
  <c r="AC345" i="1"/>
  <c r="AA345" i="1"/>
  <c r="Y345" i="1"/>
  <c r="W345" i="1"/>
  <c r="V345" i="1"/>
  <c r="S345" i="1"/>
  <c r="O345" i="1"/>
  <c r="I345" i="1"/>
  <c r="G345" i="1"/>
  <c r="AC344" i="1"/>
  <c r="AA344" i="1"/>
  <c r="Y344" i="1"/>
  <c r="W344" i="1"/>
  <c r="V344" i="1"/>
  <c r="S344" i="1"/>
  <c r="O344" i="1"/>
  <c r="I344" i="1"/>
  <c r="G344" i="1"/>
  <c r="W343" i="1"/>
  <c r="V343" i="1"/>
  <c r="O343" i="1"/>
  <c r="I343" i="1"/>
  <c r="G343" i="1"/>
  <c r="AC342" i="1"/>
  <c r="AC350" i="1" s="1"/>
  <c r="AA342" i="1"/>
  <c r="Y342" i="1"/>
  <c r="Y350" i="1" s="1"/>
  <c r="W342" i="1"/>
  <c r="V342" i="1"/>
  <c r="S342" i="1"/>
  <c r="O342" i="1"/>
  <c r="I342" i="1"/>
  <c r="G342" i="1"/>
  <c r="G350" i="1" s="1"/>
  <c r="S341" i="1"/>
  <c r="I341" i="1"/>
  <c r="G341" i="1"/>
  <c r="AB330" i="1"/>
  <c r="Z330" i="1"/>
  <c r="X330" i="1"/>
  <c r="R330" i="1"/>
  <c r="N330" i="1"/>
  <c r="F330" i="1"/>
  <c r="AC329" i="1"/>
  <c r="AA329" i="1"/>
  <c r="Y329" i="1"/>
  <c r="W329" i="1"/>
  <c r="V329" i="1"/>
  <c r="S329" i="1"/>
  <c r="O329" i="1"/>
  <c r="I329" i="1"/>
  <c r="G329" i="1"/>
  <c r="AC328" i="1"/>
  <c r="AA328" i="1"/>
  <c r="Y328" i="1"/>
  <c r="W328" i="1"/>
  <c r="V328" i="1"/>
  <c r="S328" i="1"/>
  <c r="I328" i="1"/>
  <c r="G328" i="1"/>
  <c r="AC327" i="1"/>
  <c r="AA327" i="1"/>
  <c r="Y327" i="1"/>
  <c r="W327" i="1"/>
  <c r="V327" i="1"/>
  <c r="S327" i="1"/>
  <c r="S330" i="1" s="1"/>
  <c r="O327" i="1"/>
  <c r="I327" i="1"/>
  <c r="G327" i="1"/>
  <c r="AC326" i="1"/>
  <c r="AA326" i="1"/>
  <c r="Y326" i="1"/>
  <c r="Y330" i="1" s="1"/>
  <c r="W326" i="1"/>
  <c r="V326" i="1"/>
  <c r="S326" i="1"/>
  <c r="O326" i="1"/>
  <c r="I326" i="1"/>
  <c r="I330" i="1" s="1"/>
  <c r="G326" i="1"/>
  <c r="H323" i="1"/>
  <c r="E347" i="1" s="1"/>
  <c r="N320" i="1"/>
  <c r="N318" i="1"/>
  <c r="F318" i="1"/>
  <c r="O317" i="1"/>
  <c r="L317" i="1"/>
  <c r="J317" i="1"/>
  <c r="I317" i="1"/>
  <c r="H317" i="1"/>
  <c r="G317" i="1"/>
  <c r="C317" i="1"/>
  <c r="O316" i="1"/>
  <c r="L316" i="1"/>
  <c r="K316" i="1"/>
  <c r="J316" i="1"/>
  <c r="M316" i="1" s="1"/>
  <c r="I316" i="1"/>
  <c r="G316" i="1"/>
  <c r="O315" i="1"/>
  <c r="L315" i="1"/>
  <c r="J315" i="1"/>
  <c r="K315" i="1" s="1"/>
  <c r="I315" i="1"/>
  <c r="G315" i="1"/>
  <c r="J314" i="1"/>
  <c r="I314" i="1"/>
  <c r="G314" i="1"/>
  <c r="G318" i="1" s="1"/>
  <c r="E314" i="1"/>
  <c r="C314" i="1"/>
  <c r="N311" i="1"/>
  <c r="F311" i="1"/>
  <c r="O310" i="1"/>
  <c r="L310" i="1"/>
  <c r="I310" i="1"/>
  <c r="G310" i="1"/>
  <c r="C310" i="1"/>
  <c r="O309" i="1"/>
  <c r="I309" i="1"/>
  <c r="G309" i="1"/>
  <c r="C309" i="1"/>
  <c r="O308" i="1"/>
  <c r="K308" i="1"/>
  <c r="J308" i="1"/>
  <c r="I308" i="1"/>
  <c r="G308" i="1"/>
  <c r="J307" i="1"/>
  <c r="I307" i="1"/>
  <c r="H307" i="1"/>
  <c r="G307" i="1"/>
  <c r="E307" i="1"/>
  <c r="C307" i="1"/>
  <c r="L306" i="1"/>
  <c r="J306" i="1"/>
  <c r="I306" i="1"/>
  <c r="G306" i="1"/>
  <c r="D306" i="1"/>
  <c r="O305" i="1"/>
  <c r="I305" i="1"/>
  <c r="H305" i="1"/>
  <c r="G305" i="1"/>
  <c r="C305" i="1"/>
  <c r="O304" i="1"/>
  <c r="I304" i="1"/>
  <c r="G304" i="1"/>
  <c r="E304" i="1"/>
  <c r="C304" i="1"/>
  <c r="O303" i="1"/>
  <c r="I303" i="1"/>
  <c r="G303" i="1"/>
  <c r="C303" i="1"/>
  <c r="O302" i="1"/>
  <c r="L302" i="1"/>
  <c r="J302" i="1"/>
  <c r="I302" i="1"/>
  <c r="G302" i="1"/>
  <c r="C302" i="1"/>
  <c r="O301" i="1"/>
  <c r="L301" i="1"/>
  <c r="J301" i="1"/>
  <c r="I301" i="1"/>
  <c r="G301" i="1"/>
  <c r="O300" i="1"/>
  <c r="K300" i="1"/>
  <c r="M300" i="1" s="1"/>
  <c r="J300" i="1"/>
  <c r="D300" i="1" s="1"/>
  <c r="I300" i="1"/>
  <c r="G300" i="1"/>
  <c r="J299" i="1"/>
  <c r="I299" i="1"/>
  <c r="H299" i="1"/>
  <c r="G299" i="1"/>
  <c r="E299" i="1"/>
  <c r="D299" i="1"/>
  <c r="O298" i="1"/>
  <c r="L298" i="1"/>
  <c r="J298" i="1"/>
  <c r="I298" i="1"/>
  <c r="I311" i="1" s="1"/>
  <c r="G298" i="1"/>
  <c r="D298" i="1"/>
  <c r="C298" i="1"/>
  <c r="H294" i="1"/>
  <c r="J275" i="1"/>
  <c r="L275" i="1" s="1"/>
  <c r="M275" i="1" s="1"/>
  <c r="J272" i="1"/>
  <c r="J271" i="1"/>
  <c r="J270" i="1"/>
  <c r="J269" i="1"/>
  <c r="J268" i="1"/>
  <c r="J267" i="1"/>
  <c r="J266" i="1"/>
  <c r="J265" i="1"/>
  <c r="J264" i="1"/>
  <c r="L264" i="1" s="1"/>
  <c r="M264" i="1" s="1"/>
  <c r="J263" i="1"/>
  <c r="L263" i="1" s="1"/>
  <c r="M263" i="1" s="1"/>
  <c r="L262" i="1"/>
  <c r="M262" i="1" s="1"/>
  <c r="J262" i="1"/>
  <c r="J261" i="1"/>
  <c r="J260" i="1"/>
  <c r="M259" i="1"/>
  <c r="J259" i="1"/>
  <c r="J258" i="1"/>
  <c r="J257" i="1"/>
  <c r="J254" i="1"/>
  <c r="J253" i="1"/>
  <c r="J252" i="1"/>
  <c r="J251" i="1"/>
  <c r="J250" i="1"/>
  <c r="L250" i="1" s="1"/>
  <c r="M250" i="1" s="1"/>
  <c r="L249" i="1"/>
  <c r="M249" i="1" s="1"/>
  <c r="J249" i="1"/>
  <c r="J248" i="1"/>
  <c r="L248" i="1" s="1"/>
  <c r="M248" i="1" s="1"/>
  <c r="J246" i="1"/>
  <c r="M245" i="1"/>
  <c r="L245" i="1"/>
  <c r="J245" i="1"/>
  <c r="M244" i="1"/>
  <c r="L244" i="1"/>
  <c r="J244" i="1"/>
  <c r="J243" i="1"/>
  <c r="J238" i="1"/>
  <c r="L238" i="1" s="1"/>
  <c r="M238" i="1" s="1"/>
  <c r="L237" i="1"/>
  <c r="M237" i="1" s="1"/>
  <c r="J237" i="1"/>
  <c r="R236" i="1"/>
  <c r="Q236" i="1" s="1"/>
  <c r="J236" i="1"/>
  <c r="R235" i="1"/>
  <c r="J235" i="1"/>
  <c r="L235" i="1" s="1"/>
  <c r="M235" i="1" s="1"/>
  <c r="R234" i="1"/>
  <c r="Q234" i="1"/>
  <c r="L251" i="1" s="1"/>
  <c r="M251" i="1" s="1"/>
  <c r="J234" i="1"/>
  <c r="L234" i="1" s="1"/>
  <c r="M234" i="1" s="1"/>
  <c r="R233" i="1"/>
  <c r="J233" i="1"/>
  <c r="J232" i="1"/>
  <c r="H220" i="1"/>
  <c r="H219" i="1"/>
  <c r="H218" i="1"/>
  <c r="H216" i="1"/>
  <c r="H215" i="1"/>
  <c r="H213" i="1"/>
  <c r="H212" i="1"/>
  <c r="H211" i="1"/>
  <c r="D176" i="1"/>
  <c r="D175" i="1"/>
  <c r="D174" i="1"/>
  <c r="W163" i="1"/>
  <c r="V163" i="1"/>
  <c r="T163" i="1"/>
  <c r="S163" i="1"/>
  <c r="W161" i="1"/>
  <c r="W158" i="1"/>
  <c r="V158" i="1"/>
  <c r="T158" i="1"/>
  <c r="S158" i="1"/>
  <c r="W156" i="1"/>
  <c r="V156" i="1"/>
  <c r="W153" i="1"/>
  <c r="F124" i="1"/>
  <c r="J123" i="1"/>
  <c r="I123" i="1"/>
  <c r="G123" i="1"/>
  <c r="I122" i="1"/>
  <c r="G122" i="1"/>
  <c r="E122" i="1"/>
  <c r="C122" i="1"/>
  <c r="L121" i="1"/>
  <c r="I121" i="1"/>
  <c r="G121" i="1"/>
  <c r="I120" i="1"/>
  <c r="H120" i="1"/>
  <c r="G120" i="1"/>
  <c r="I119" i="1"/>
  <c r="G119" i="1"/>
  <c r="J118" i="1"/>
  <c r="I118" i="1"/>
  <c r="G118" i="1"/>
  <c r="L117" i="1"/>
  <c r="K117" i="1"/>
  <c r="J117" i="1"/>
  <c r="I117" i="1"/>
  <c r="G117" i="1"/>
  <c r="I116" i="1"/>
  <c r="H116" i="1"/>
  <c r="G116" i="1"/>
  <c r="E116" i="1"/>
  <c r="C116" i="1"/>
  <c r="I115" i="1"/>
  <c r="G115" i="1"/>
  <c r="L114" i="1"/>
  <c r="I114" i="1"/>
  <c r="H114" i="1"/>
  <c r="G114" i="1"/>
  <c r="I113" i="1"/>
  <c r="G113" i="1"/>
  <c r="I112" i="1"/>
  <c r="I124" i="1" s="1"/>
  <c r="G112" i="1"/>
  <c r="I111" i="1"/>
  <c r="G111" i="1"/>
  <c r="I110" i="1"/>
  <c r="H110" i="1"/>
  <c r="G110" i="1"/>
  <c r="E110" i="1"/>
  <c r="C110" i="1"/>
  <c r="I109" i="1"/>
  <c r="G109" i="1"/>
  <c r="I108" i="1"/>
  <c r="H108" i="1"/>
  <c r="G108" i="1"/>
  <c r="I107" i="1"/>
  <c r="H107" i="1"/>
  <c r="G107" i="1"/>
  <c r="I106" i="1"/>
  <c r="G106" i="1"/>
  <c r="C106" i="1"/>
  <c r="I105" i="1"/>
  <c r="G105" i="1"/>
  <c r="L104" i="1"/>
  <c r="I104" i="1"/>
  <c r="H104" i="1"/>
  <c r="G104" i="1"/>
  <c r="G124" i="1" s="1"/>
  <c r="E104" i="1"/>
  <c r="C104" i="1"/>
  <c r="F100" i="1"/>
  <c r="L99" i="1"/>
  <c r="I99" i="1"/>
  <c r="G99" i="1"/>
  <c r="E99" i="1"/>
  <c r="I98" i="1"/>
  <c r="G98" i="1"/>
  <c r="C98" i="1"/>
  <c r="I97" i="1"/>
  <c r="G97" i="1"/>
  <c r="L96" i="1"/>
  <c r="J96" i="1"/>
  <c r="K96" i="1" s="1"/>
  <c r="I96" i="1"/>
  <c r="H96" i="1"/>
  <c r="G96" i="1"/>
  <c r="C96" i="1"/>
  <c r="I95" i="1"/>
  <c r="G95" i="1"/>
  <c r="E95" i="1"/>
  <c r="J94" i="1"/>
  <c r="I94" i="1"/>
  <c r="G94" i="1"/>
  <c r="C94" i="1"/>
  <c r="I93" i="1"/>
  <c r="H93" i="1"/>
  <c r="G93" i="1"/>
  <c r="E93" i="1"/>
  <c r="C93" i="1"/>
  <c r="I92" i="1"/>
  <c r="G92" i="1"/>
  <c r="L91" i="1"/>
  <c r="I91" i="1"/>
  <c r="G91" i="1"/>
  <c r="C91" i="1"/>
  <c r="J90" i="1"/>
  <c r="K90" i="1" s="1"/>
  <c r="I90" i="1"/>
  <c r="G90" i="1"/>
  <c r="I89" i="1"/>
  <c r="G89" i="1"/>
  <c r="E89" i="1"/>
  <c r="C89" i="1"/>
  <c r="L88" i="1"/>
  <c r="J88" i="1"/>
  <c r="I88" i="1"/>
  <c r="G88" i="1"/>
  <c r="E88" i="1"/>
  <c r="J87" i="1"/>
  <c r="I87" i="1"/>
  <c r="I100" i="1" s="1"/>
  <c r="G87" i="1"/>
  <c r="E87" i="1"/>
  <c r="J86" i="1"/>
  <c r="I86" i="1"/>
  <c r="G86" i="1"/>
  <c r="J85" i="1"/>
  <c r="I85" i="1"/>
  <c r="G85" i="1"/>
  <c r="E85" i="1"/>
  <c r="D85" i="1"/>
  <c r="C85" i="1"/>
  <c r="I84" i="1"/>
  <c r="G84" i="1"/>
  <c r="J83" i="1"/>
  <c r="I83" i="1"/>
  <c r="H83" i="1"/>
  <c r="G83" i="1"/>
  <c r="E83" i="1"/>
  <c r="D83" i="1"/>
  <c r="I82" i="1"/>
  <c r="G82" i="1"/>
  <c r="C82" i="1"/>
  <c r="I81" i="1"/>
  <c r="H81" i="1"/>
  <c r="G81" i="1"/>
  <c r="L80" i="1"/>
  <c r="I80" i="1"/>
  <c r="G80" i="1"/>
  <c r="E80" i="1"/>
  <c r="F77" i="1"/>
  <c r="I76" i="1"/>
  <c r="G76" i="1"/>
  <c r="C76" i="1"/>
  <c r="L75" i="1"/>
  <c r="I75" i="1"/>
  <c r="H75" i="1"/>
  <c r="G75" i="1"/>
  <c r="E75" i="1"/>
  <c r="L74" i="1"/>
  <c r="I74" i="1"/>
  <c r="G74" i="1"/>
  <c r="C74" i="1"/>
  <c r="J73" i="1"/>
  <c r="K73" i="1" s="1"/>
  <c r="I73" i="1"/>
  <c r="G73" i="1"/>
  <c r="E73" i="1"/>
  <c r="L72" i="1"/>
  <c r="I72" i="1"/>
  <c r="H72" i="1"/>
  <c r="G72" i="1"/>
  <c r="I71" i="1"/>
  <c r="G71" i="1"/>
  <c r="E71" i="1"/>
  <c r="J70" i="1"/>
  <c r="I70" i="1"/>
  <c r="G70" i="1"/>
  <c r="J69" i="1"/>
  <c r="K69" i="1" s="1"/>
  <c r="I69" i="1"/>
  <c r="G69" i="1"/>
  <c r="I68" i="1"/>
  <c r="G68" i="1"/>
  <c r="E68" i="1"/>
  <c r="C68" i="1"/>
  <c r="J67" i="1"/>
  <c r="K67" i="1" s="1"/>
  <c r="I67" i="1"/>
  <c r="G67" i="1"/>
  <c r="I66" i="1"/>
  <c r="G66" i="1"/>
  <c r="E66" i="1"/>
  <c r="I65" i="1"/>
  <c r="G65" i="1"/>
  <c r="C65" i="1"/>
  <c r="I64" i="1"/>
  <c r="G64" i="1"/>
  <c r="K63" i="1"/>
  <c r="J63" i="1"/>
  <c r="I63" i="1"/>
  <c r="G63" i="1"/>
  <c r="L62" i="1"/>
  <c r="I62" i="1"/>
  <c r="G62" i="1"/>
  <c r="E62" i="1"/>
  <c r="C62" i="1"/>
  <c r="J61" i="1"/>
  <c r="K61" i="1" s="1"/>
  <c r="I61" i="1"/>
  <c r="G61" i="1"/>
  <c r="L60" i="1"/>
  <c r="I60" i="1"/>
  <c r="H60" i="1"/>
  <c r="G60" i="1"/>
  <c r="I59" i="1"/>
  <c r="H59" i="1"/>
  <c r="G59" i="1"/>
  <c r="I58" i="1"/>
  <c r="G58" i="1"/>
  <c r="C58" i="1"/>
  <c r="L57" i="1"/>
  <c r="K57" i="1"/>
  <c r="J57" i="1"/>
  <c r="I57" i="1"/>
  <c r="G57" i="1"/>
  <c r="L56" i="1"/>
  <c r="J56" i="1"/>
  <c r="D56" i="1" s="1"/>
  <c r="I56" i="1"/>
  <c r="I77" i="1" s="1"/>
  <c r="H56" i="1"/>
  <c r="G56" i="1"/>
  <c r="AC54" i="1"/>
  <c r="U54" i="1"/>
  <c r="X54" i="1" s="1"/>
  <c r="Y54" i="1" s="1"/>
  <c r="AB54" i="1" s="1"/>
  <c r="U53" i="1"/>
  <c r="X53" i="1" s="1"/>
  <c r="Y53" i="1" s="1"/>
  <c r="AB53" i="1" s="1"/>
  <c r="AC53" i="1" s="1"/>
  <c r="Y52" i="1"/>
  <c r="AB52" i="1" s="1"/>
  <c r="AC52" i="1" s="1"/>
  <c r="X52" i="1"/>
  <c r="U52" i="1"/>
  <c r="F52" i="1"/>
  <c r="U51" i="1"/>
  <c r="X51" i="1" s="1"/>
  <c r="Y51" i="1" s="1"/>
  <c r="AB51" i="1" s="1"/>
  <c r="AC51" i="1" s="1"/>
  <c r="L51" i="1"/>
  <c r="I51" i="1"/>
  <c r="H51" i="1"/>
  <c r="G51" i="1"/>
  <c r="E51" i="1"/>
  <c r="L50" i="1"/>
  <c r="I50" i="1"/>
  <c r="G50" i="1"/>
  <c r="E50" i="1"/>
  <c r="Y49" i="1"/>
  <c r="U49" i="1"/>
  <c r="L49" i="1"/>
  <c r="I49" i="1"/>
  <c r="H49" i="1"/>
  <c r="G49" i="1"/>
  <c r="Y48" i="1"/>
  <c r="U48" i="1"/>
  <c r="K48" i="1"/>
  <c r="J48" i="1"/>
  <c r="I48" i="1"/>
  <c r="G48" i="1"/>
  <c r="AC47" i="1"/>
  <c r="Y47" i="1"/>
  <c r="X47" i="1"/>
  <c r="U47" i="1"/>
  <c r="L47" i="1"/>
  <c r="J47" i="1"/>
  <c r="K47" i="1" s="1"/>
  <c r="I47" i="1"/>
  <c r="H47" i="1"/>
  <c r="G47" i="1"/>
  <c r="I46" i="1"/>
  <c r="G46" i="1"/>
  <c r="C46" i="1"/>
  <c r="I45" i="1"/>
  <c r="H45" i="1"/>
  <c r="G45" i="1"/>
  <c r="E45" i="1"/>
  <c r="I44" i="1"/>
  <c r="G44" i="1"/>
  <c r="C44" i="1"/>
  <c r="I43" i="1"/>
  <c r="G43" i="1"/>
  <c r="L42" i="1"/>
  <c r="K42" i="1"/>
  <c r="J42" i="1"/>
  <c r="I42" i="1"/>
  <c r="G42" i="1"/>
  <c r="AD41" i="1"/>
  <c r="I41" i="1"/>
  <c r="H41" i="1"/>
  <c r="G41" i="1"/>
  <c r="E41" i="1"/>
  <c r="C41" i="1"/>
  <c r="U40" i="1"/>
  <c r="V40" i="1" s="1"/>
  <c r="I40" i="1"/>
  <c r="G40" i="1"/>
  <c r="U39" i="1"/>
  <c r="V39" i="1" s="1"/>
  <c r="K39" i="1"/>
  <c r="J39" i="1"/>
  <c r="I39" i="1"/>
  <c r="G39" i="1"/>
  <c r="U38" i="1"/>
  <c r="V38" i="1" s="1"/>
  <c r="K38" i="1"/>
  <c r="J38" i="1"/>
  <c r="I38" i="1"/>
  <c r="G38" i="1"/>
  <c r="C38" i="1"/>
  <c r="U37" i="1"/>
  <c r="V37" i="1" s="1"/>
  <c r="L37" i="1"/>
  <c r="J37" i="1"/>
  <c r="I37" i="1"/>
  <c r="I52" i="1" s="1"/>
  <c r="G37" i="1"/>
  <c r="E37" i="1"/>
  <c r="AD36" i="1"/>
  <c r="U36" i="1"/>
  <c r="V36" i="1" s="1"/>
  <c r="I36" i="1"/>
  <c r="H36" i="1"/>
  <c r="G36" i="1"/>
  <c r="E36" i="1"/>
  <c r="AC35" i="1"/>
  <c r="V35" i="1"/>
  <c r="U35" i="1"/>
  <c r="L35" i="1"/>
  <c r="I35" i="1"/>
  <c r="G35" i="1"/>
  <c r="V34" i="1"/>
  <c r="U34" i="1"/>
  <c r="K34" i="1"/>
  <c r="J34" i="1"/>
  <c r="I34" i="1"/>
  <c r="G34" i="1"/>
  <c r="D34" i="1"/>
  <c r="I33" i="1"/>
  <c r="G33" i="1"/>
  <c r="G52" i="1" s="1"/>
  <c r="E33" i="1"/>
  <c r="AF32" i="1"/>
  <c r="AE32" i="1"/>
  <c r="L32" i="1"/>
  <c r="I32" i="1"/>
  <c r="G32" i="1"/>
  <c r="C32" i="1"/>
  <c r="AE31" i="1"/>
  <c r="AE30" i="1"/>
  <c r="V30" i="1"/>
  <c r="U30" i="1"/>
  <c r="U29" i="1"/>
  <c r="V29" i="1" s="1"/>
  <c r="V28" i="1"/>
  <c r="U28" i="1"/>
  <c r="J28" i="1"/>
  <c r="H28" i="1"/>
  <c r="G28" i="1"/>
  <c r="E28" i="1"/>
  <c r="U27" i="1"/>
  <c r="V27" i="1" s="1"/>
  <c r="J27" i="1"/>
  <c r="H27" i="1"/>
  <c r="V26" i="1"/>
  <c r="U26" i="1"/>
  <c r="G26" i="1"/>
  <c r="E26" i="1"/>
  <c r="U25" i="1"/>
  <c r="V25" i="1" s="1"/>
  <c r="J25" i="1"/>
  <c r="H25" i="1"/>
  <c r="G25" i="1"/>
  <c r="U24" i="1"/>
  <c r="V24" i="1" s="1"/>
  <c r="G24" i="1"/>
  <c r="E24" i="1"/>
  <c r="J23" i="1"/>
  <c r="E23" i="1"/>
  <c r="J22" i="1"/>
  <c r="E22" i="1"/>
  <c r="G21" i="1"/>
  <c r="E21" i="1"/>
  <c r="AK20" i="1"/>
  <c r="AG20" i="1"/>
  <c r="AK19" i="1"/>
  <c r="AG19" i="1"/>
  <c r="AK17" i="1"/>
  <c r="AG17" i="1"/>
  <c r="AE17" i="1"/>
  <c r="H17" i="1"/>
  <c r="E298" i="1" s="1"/>
  <c r="AK16" i="1"/>
  <c r="AG16" i="1"/>
  <c r="AE16" i="1"/>
  <c r="AK14" i="1"/>
  <c r="AG14" i="1"/>
  <c r="AE14" i="1"/>
  <c r="AK13" i="1"/>
  <c r="AG13" i="1"/>
  <c r="AE13" i="1"/>
  <c r="E13" i="1"/>
  <c r="AK12" i="1"/>
  <c r="E12" i="1"/>
  <c r="AG11" i="1"/>
  <c r="AE11" i="1"/>
  <c r="AK10" i="1"/>
  <c r="AG10" i="1"/>
  <c r="AE10" i="1"/>
  <c r="AK9" i="1"/>
  <c r="AG9" i="1"/>
  <c r="AK8" i="1"/>
  <c r="AG8" i="1"/>
  <c r="W8" i="1"/>
  <c r="AH8" i="1" s="1"/>
  <c r="AK7" i="1"/>
  <c r="AI7" i="1"/>
  <c r="AH7" i="1"/>
  <c r="AG7" i="1"/>
  <c r="AE7" i="1"/>
  <c r="W7" i="1"/>
  <c r="AL7" i="1" s="1"/>
  <c r="E7" i="1"/>
  <c r="E8" i="1" s="1"/>
  <c r="E5" i="1"/>
  <c r="AJ1" i="1"/>
  <c r="AF1" i="1"/>
  <c r="AD1" i="1"/>
  <c r="M302" i="1" l="1"/>
  <c r="L271" i="1"/>
  <c r="M271" i="1" s="1"/>
  <c r="AF30" i="1"/>
  <c r="E344" i="1"/>
  <c r="I385" i="1"/>
  <c r="C348" i="1"/>
  <c r="G311" i="1"/>
  <c r="K301" i="1"/>
  <c r="M301" i="1" s="1"/>
  <c r="E384" i="1"/>
  <c r="J382" i="1"/>
  <c r="D382" i="1" s="1"/>
  <c r="E381" i="1"/>
  <c r="D381" i="1"/>
  <c r="H382" i="1"/>
  <c r="H384" i="1"/>
  <c r="H381" i="1"/>
  <c r="E383" i="1"/>
  <c r="K380" i="1"/>
  <c r="D383" i="1"/>
  <c r="J380" i="1"/>
  <c r="K382" i="1"/>
  <c r="H380" i="1"/>
  <c r="J384" i="1"/>
  <c r="K384" i="1" s="1"/>
  <c r="K302" i="1"/>
  <c r="C382" i="1"/>
  <c r="D342" i="1"/>
  <c r="D315" i="1"/>
  <c r="H342" i="1"/>
  <c r="J348" i="1"/>
  <c r="D348" i="1" s="1"/>
  <c r="C346" i="1"/>
  <c r="H345" i="1"/>
  <c r="C342" i="1"/>
  <c r="J329" i="1"/>
  <c r="E327" i="1"/>
  <c r="J326" i="1"/>
  <c r="H349" i="1"/>
  <c r="K344" i="1"/>
  <c r="K343" i="1"/>
  <c r="C384" i="1"/>
  <c r="C381" i="1"/>
  <c r="H348" i="1"/>
  <c r="E345" i="1"/>
  <c r="J344" i="1"/>
  <c r="J343" i="1"/>
  <c r="H329" i="1"/>
  <c r="C327" i="1"/>
  <c r="H326" i="1"/>
  <c r="C383" i="1"/>
  <c r="C380" i="1"/>
  <c r="K349" i="1"/>
  <c r="C347" i="1"/>
  <c r="E346" i="1"/>
  <c r="J345" i="1"/>
  <c r="E342" i="1"/>
  <c r="C328" i="1"/>
  <c r="H327" i="1"/>
  <c r="J341" i="1"/>
  <c r="K341" i="1" s="1"/>
  <c r="J328" i="1"/>
  <c r="E329" i="1"/>
  <c r="K326" i="1"/>
  <c r="J347" i="1"/>
  <c r="K347" i="1" s="1"/>
  <c r="K346" i="1"/>
  <c r="H343" i="1"/>
  <c r="H341" i="1"/>
  <c r="H328" i="1"/>
  <c r="J349" i="1"/>
  <c r="J346" i="1"/>
  <c r="K342" i="1"/>
  <c r="D329" i="1"/>
  <c r="J327" i="1"/>
  <c r="E348" i="1"/>
  <c r="H347" i="1"/>
  <c r="K345" i="1"/>
  <c r="E343" i="1"/>
  <c r="J342" i="1"/>
  <c r="E341" i="1"/>
  <c r="C329" i="1"/>
  <c r="E328" i="1"/>
  <c r="E326" i="1"/>
  <c r="H346" i="1"/>
  <c r="H344" i="1"/>
  <c r="D343" i="1"/>
  <c r="C341" i="1"/>
  <c r="D328" i="1"/>
  <c r="D326" i="1"/>
  <c r="C343" i="1"/>
  <c r="K317" i="1"/>
  <c r="M317" i="1" s="1"/>
  <c r="AL8" i="1"/>
  <c r="L266" i="1"/>
  <c r="M266" i="1" s="1"/>
  <c r="K329" i="1"/>
  <c r="AA350" i="1"/>
  <c r="E380" i="1"/>
  <c r="E349" i="1"/>
  <c r="K37" i="1"/>
  <c r="M315" i="1"/>
  <c r="K299" i="1"/>
  <c r="M299" i="1" s="1"/>
  <c r="K307" i="1"/>
  <c r="M307" i="1" s="1"/>
  <c r="E310" i="1"/>
  <c r="H314" i="1"/>
  <c r="D346" i="1"/>
  <c r="H383" i="1"/>
  <c r="C326" i="1"/>
  <c r="W9" i="1"/>
  <c r="G23" i="1"/>
  <c r="C33" i="1"/>
  <c r="E35" i="1"/>
  <c r="H38" i="1"/>
  <c r="C50" i="1"/>
  <c r="E56" i="1"/>
  <c r="C61" i="1"/>
  <c r="H63" i="1"/>
  <c r="E69" i="1"/>
  <c r="K94" i="1"/>
  <c r="J105" i="1"/>
  <c r="K111" i="1"/>
  <c r="J114" i="1"/>
  <c r="D114" i="1" s="1"/>
  <c r="E120" i="1"/>
  <c r="I318" i="1"/>
  <c r="AA330" i="1"/>
  <c r="C344" i="1"/>
  <c r="C345" i="1"/>
  <c r="AF31" i="1"/>
  <c r="O330" i="1"/>
  <c r="E316" i="1"/>
  <c r="H309" i="1"/>
  <c r="H303" i="1"/>
  <c r="E301" i="1"/>
  <c r="E121" i="1"/>
  <c r="J119" i="1"/>
  <c r="K119" i="1" s="1"/>
  <c r="E118" i="1"/>
  <c r="C114" i="1"/>
  <c r="H112" i="1"/>
  <c r="C111" i="1"/>
  <c r="H109" i="1"/>
  <c r="C108" i="1"/>
  <c r="H106" i="1"/>
  <c r="C105" i="1"/>
  <c r="J98" i="1"/>
  <c r="K98" i="1" s="1"/>
  <c r="E97" i="1"/>
  <c r="K95" i="1"/>
  <c r="K92" i="1"/>
  <c r="H91" i="1"/>
  <c r="C90" i="1"/>
  <c r="D87" i="1"/>
  <c r="D73" i="1"/>
  <c r="J71" i="1"/>
  <c r="K71" i="1" s="1"/>
  <c r="E70" i="1"/>
  <c r="J68" i="1"/>
  <c r="D68" i="1" s="1"/>
  <c r="E67" i="1"/>
  <c r="J65" i="1"/>
  <c r="K65" i="1" s="1"/>
  <c r="E64" i="1"/>
  <c r="K62" i="1"/>
  <c r="C60" i="1"/>
  <c r="H58" i="1"/>
  <c r="D57" i="1"/>
  <c r="E317" i="1"/>
  <c r="E302" i="1"/>
  <c r="H122" i="1"/>
  <c r="D121" i="1"/>
  <c r="D118" i="1"/>
  <c r="J116" i="1"/>
  <c r="D116" i="1" s="1"/>
  <c r="E115" i="1"/>
  <c r="K110" i="1"/>
  <c r="J95" i="1"/>
  <c r="D95" i="1" s="1"/>
  <c r="E94" i="1"/>
  <c r="J92" i="1"/>
  <c r="D92" i="1" s="1"/>
  <c r="H88" i="1"/>
  <c r="C87" i="1"/>
  <c r="H85" i="1"/>
  <c r="C84" i="1"/>
  <c r="H82" i="1"/>
  <c r="C81" i="1"/>
  <c r="H74" i="1"/>
  <c r="C73" i="1"/>
  <c r="D70" i="1"/>
  <c r="D67" i="1"/>
  <c r="J62" i="1"/>
  <c r="D62" i="1" s="1"/>
  <c r="E61" i="1"/>
  <c r="K59" i="1"/>
  <c r="C57" i="1"/>
  <c r="H50" i="1"/>
  <c r="D48" i="1"/>
  <c r="E47" i="1"/>
  <c r="J45" i="1"/>
  <c r="K45" i="1" s="1"/>
  <c r="H44" i="1"/>
  <c r="E43" i="1"/>
  <c r="D42" i="1"/>
  <c r="D37" i="1"/>
  <c r="C36" i="1"/>
  <c r="D35" i="1"/>
  <c r="K33" i="1"/>
  <c r="J32" i="1"/>
  <c r="D32" i="1" s="1"/>
  <c r="H310" i="1"/>
  <c r="E309" i="1"/>
  <c r="H304" i="1"/>
  <c r="E303" i="1"/>
  <c r="K123" i="1"/>
  <c r="C121" i="1"/>
  <c r="H119" i="1"/>
  <c r="C118" i="1"/>
  <c r="D115" i="1"/>
  <c r="J113" i="1"/>
  <c r="D113" i="1" s="1"/>
  <c r="E112" i="1"/>
  <c r="J110" i="1"/>
  <c r="D110" i="1" s="1"/>
  <c r="E109" i="1"/>
  <c r="J107" i="1"/>
  <c r="K107" i="1" s="1"/>
  <c r="E106" i="1"/>
  <c r="H98" i="1"/>
  <c r="C97" i="1"/>
  <c r="D94" i="1"/>
  <c r="E91" i="1"/>
  <c r="J89" i="1"/>
  <c r="D89" i="1" s="1"/>
  <c r="K86" i="1"/>
  <c r="K83" i="1"/>
  <c r="J75" i="1"/>
  <c r="K75" i="1" s="1"/>
  <c r="H71" i="1"/>
  <c r="C70" i="1"/>
  <c r="H68" i="1"/>
  <c r="C67" i="1"/>
  <c r="H65" i="1"/>
  <c r="C64" i="1"/>
  <c r="D61" i="1"/>
  <c r="J59" i="1"/>
  <c r="D59" i="1" s="1"/>
  <c r="E58" i="1"/>
  <c r="J51" i="1"/>
  <c r="D51" i="1" s="1"/>
  <c r="E49" i="1"/>
  <c r="C48" i="1"/>
  <c r="D47" i="1"/>
  <c r="C42" i="1"/>
  <c r="C37" i="1"/>
  <c r="C35" i="1"/>
  <c r="J33" i="1"/>
  <c r="H316" i="1"/>
  <c r="H301" i="1"/>
  <c r="E300" i="1"/>
  <c r="H121" i="1"/>
  <c r="C120" i="1"/>
  <c r="H118" i="1"/>
  <c r="D117" i="1"/>
  <c r="E114" i="1"/>
  <c r="J112" i="1"/>
  <c r="E111" i="1"/>
  <c r="J109" i="1"/>
  <c r="K109" i="1" s="1"/>
  <c r="E108" i="1"/>
  <c r="J106" i="1"/>
  <c r="D106" i="1" s="1"/>
  <c r="E105" i="1"/>
  <c r="C99" i="1"/>
  <c r="H97" i="1"/>
  <c r="D96" i="1"/>
  <c r="J91" i="1"/>
  <c r="D91" i="1" s="1"/>
  <c r="E90" i="1"/>
  <c r="K88" i="1"/>
  <c r="K85" i="1"/>
  <c r="C80" i="1"/>
  <c r="D76" i="1"/>
  <c r="C72" i="1"/>
  <c r="H70" i="1"/>
  <c r="C69" i="1"/>
  <c r="H67" i="1"/>
  <c r="C66" i="1"/>
  <c r="H64" i="1"/>
  <c r="C63" i="1"/>
  <c r="E60" i="1"/>
  <c r="J58" i="1"/>
  <c r="D58" i="1" s="1"/>
  <c r="C56" i="1"/>
  <c r="K50" i="1"/>
  <c r="J49" i="1"/>
  <c r="K49" i="1" s="1"/>
  <c r="H48" i="1"/>
  <c r="D46" i="1"/>
  <c r="H42" i="1"/>
  <c r="C40" i="1"/>
  <c r="D39" i="1"/>
  <c r="E38" i="1"/>
  <c r="H37" i="1"/>
  <c r="H35" i="1"/>
  <c r="E34" i="1"/>
  <c r="H315" i="1"/>
  <c r="E305" i="1"/>
  <c r="H123" i="1"/>
  <c r="J115" i="1"/>
  <c r="K115" i="1" s="1"/>
  <c r="J111" i="1"/>
  <c r="H105" i="1"/>
  <c r="E98" i="1"/>
  <c r="H94" i="1"/>
  <c r="K84" i="1"/>
  <c r="C83" i="1"/>
  <c r="E81" i="1"/>
  <c r="K76" i="1"/>
  <c r="D75" i="1"/>
  <c r="H73" i="1"/>
  <c r="H69" i="1"/>
  <c r="E65" i="1"/>
  <c r="E63" i="1"/>
  <c r="H61" i="1"/>
  <c r="E48" i="1"/>
  <c r="D45" i="1"/>
  <c r="K43" i="1"/>
  <c r="K40" i="1"/>
  <c r="H34" i="1"/>
  <c r="G27" i="1"/>
  <c r="E25" i="1"/>
  <c r="H22" i="1"/>
  <c r="H300" i="1"/>
  <c r="E123" i="1"/>
  <c r="D109" i="1"/>
  <c r="H308" i="1"/>
  <c r="J121" i="1"/>
  <c r="K121" i="1" s="1"/>
  <c r="H117" i="1"/>
  <c r="H113" i="1"/>
  <c r="E107" i="1"/>
  <c r="D98" i="1"/>
  <c r="E96" i="1"/>
  <c r="E92" i="1"/>
  <c r="H90" i="1"/>
  <c r="H86" i="1"/>
  <c r="J84" i="1"/>
  <c r="D84" i="1" s="1"/>
  <c r="J82" i="1"/>
  <c r="K82" i="1" s="1"/>
  <c r="J76" i="1"/>
  <c r="C75" i="1"/>
  <c r="D63" i="1"/>
  <c r="E59" i="1"/>
  <c r="H57" i="1"/>
  <c r="C51" i="1"/>
  <c r="J46" i="1"/>
  <c r="K46" i="1" s="1"/>
  <c r="C45" i="1"/>
  <c r="J43" i="1"/>
  <c r="D43" i="1" s="1"/>
  <c r="E42" i="1"/>
  <c r="J40" i="1"/>
  <c r="J52" i="1" s="1"/>
  <c r="H39" i="1"/>
  <c r="D38" i="1"/>
  <c r="K32" i="1"/>
  <c r="E27" i="1"/>
  <c r="G22" i="1"/>
  <c r="J20" i="1"/>
  <c r="E315" i="1"/>
  <c r="E119" i="1"/>
  <c r="H115" i="1"/>
  <c r="H111" i="1"/>
  <c r="D107" i="1"/>
  <c r="D105" i="1"/>
  <c r="E308" i="1"/>
  <c r="D123" i="1"/>
  <c r="E117" i="1"/>
  <c r="E113" i="1"/>
  <c r="C109" i="1"/>
  <c r="C107" i="1"/>
  <c r="J99" i="1"/>
  <c r="C92" i="1"/>
  <c r="D90" i="1"/>
  <c r="D88" i="1"/>
  <c r="E86" i="1"/>
  <c r="H84" i="1"/>
  <c r="J80" i="1"/>
  <c r="H76" i="1"/>
  <c r="J74" i="1"/>
  <c r="D74" i="1" s="1"/>
  <c r="D71" i="1"/>
  <c r="D69" i="1"/>
  <c r="J66" i="1"/>
  <c r="C59" i="1"/>
  <c r="E57" i="1"/>
  <c r="J50" i="1"/>
  <c r="H46" i="1"/>
  <c r="H43" i="1"/>
  <c r="H40" i="1"/>
  <c r="E39" i="1"/>
  <c r="J35" i="1"/>
  <c r="K35" i="1" s="1"/>
  <c r="C34" i="1"/>
  <c r="H32" i="1"/>
  <c r="J24" i="1"/>
  <c r="J21" i="1"/>
  <c r="G20" i="1"/>
  <c r="E46" i="1"/>
  <c r="H306" i="1"/>
  <c r="H298" i="1"/>
  <c r="C123" i="1"/>
  <c r="C119" i="1"/>
  <c r="C117" i="1"/>
  <c r="C115" i="1"/>
  <c r="D111" i="1"/>
  <c r="J104" i="1"/>
  <c r="J97" i="1"/>
  <c r="K97" i="1" s="1"/>
  <c r="H95" i="1"/>
  <c r="J93" i="1"/>
  <c r="K93" i="1" s="1"/>
  <c r="C88" i="1"/>
  <c r="D86" i="1"/>
  <c r="E82" i="1"/>
  <c r="C71" i="1"/>
  <c r="J64" i="1"/>
  <c r="K64" i="1" s="1"/>
  <c r="H62" i="1"/>
  <c r="K60" i="1"/>
  <c r="K58" i="1"/>
  <c r="D49" i="1"/>
  <c r="J44" i="1"/>
  <c r="D44" i="1" s="1"/>
  <c r="J41" i="1"/>
  <c r="D41" i="1" s="1"/>
  <c r="C39" i="1"/>
  <c r="J36" i="1"/>
  <c r="D36" i="1" s="1"/>
  <c r="J26" i="1"/>
  <c r="H24" i="1"/>
  <c r="H21" i="1"/>
  <c r="E20" i="1"/>
  <c r="K118" i="1"/>
  <c r="H99" i="1"/>
  <c r="K91" i="1"/>
  <c r="K87" i="1"/>
  <c r="C86" i="1"/>
  <c r="D82" i="1"/>
  <c r="H80" i="1"/>
  <c r="J72" i="1"/>
  <c r="K72" i="1" s="1"/>
  <c r="H66" i="1"/>
  <c r="J60" i="1"/>
  <c r="D60" i="1" s="1"/>
  <c r="K56" i="1"/>
  <c r="C49" i="1"/>
  <c r="E40" i="1"/>
  <c r="H33" i="1"/>
  <c r="E32" i="1"/>
  <c r="H26" i="1"/>
  <c r="J122" i="1"/>
  <c r="D122" i="1" s="1"/>
  <c r="J120" i="1"/>
  <c r="D120" i="1" s="1"/>
  <c r="C113" i="1"/>
  <c r="J108" i="1"/>
  <c r="D108" i="1" s="1"/>
  <c r="H89" i="1"/>
  <c r="E84" i="1"/>
  <c r="E76" i="1"/>
  <c r="K70" i="1"/>
  <c r="C43" i="1"/>
  <c r="H20" i="1"/>
  <c r="H23" i="1"/>
  <c r="D33" i="1"/>
  <c r="D40" i="1"/>
  <c r="E44" i="1"/>
  <c r="C47" i="1"/>
  <c r="D50" i="1"/>
  <c r="G77" i="1"/>
  <c r="E72" i="1"/>
  <c r="E74" i="1"/>
  <c r="J81" i="1"/>
  <c r="K81" i="1" s="1"/>
  <c r="H87" i="1"/>
  <c r="H92" i="1"/>
  <c r="C95" i="1"/>
  <c r="K105" i="1"/>
  <c r="C112" i="1"/>
  <c r="K114" i="1"/>
  <c r="H302" i="1"/>
  <c r="E306" i="1"/>
  <c r="AC330" i="1"/>
  <c r="D344" i="1"/>
  <c r="D345" i="1"/>
  <c r="C349" i="1"/>
  <c r="J383" i="1"/>
  <c r="K383" i="1" s="1"/>
  <c r="J318" i="1"/>
  <c r="L285" i="1"/>
  <c r="M285" i="1" s="1"/>
  <c r="L243" i="1"/>
  <c r="M243" i="1" s="1"/>
  <c r="L265" i="1"/>
  <c r="M265" i="1" s="1"/>
  <c r="K314" i="1"/>
  <c r="M314" i="1" s="1"/>
  <c r="M318" i="1" s="1"/>
  <c r="G100" i="1"/>
  <c r="Q235" i="1"/>
  <c r="L253" i="1" s="1"/>
  <c r="M253" i="1" s="1"/>
  <c r="G330" i="1"/>
  <c r="S350" i="1"/>
  <c r="S351" i="1" s="1"/>
  <c r="L261" i="1"/>
  <c r="M261" i="1" s="1"/>
  <c r="K306" i="1"/>
  <c r="M306" i="1" s="1"/>
  <c r="L260" i="1"/>
  <c r="M260" i="1" s="1"/>
  <c r="L252" i="1"/>
  <c r="M252" i="1" s="1"/>
  <c r="C299" i="1"/>
  <c r="J303" i="1"/>
  <c r="C306" i="1"/>
  <c r="D307" i="1"/>
  <c r="J309" i="1"/>
  <c r="D314" i="1"/>
  <c r="D318" i="1" s="1"/>
  <c r="K298" i="1"/>
  <c r="M298" i="1" s="1"/>
  <c r="C301" i="1"/>
  <c r="D302" i="1"/>
  <c r="J305" i="1"/>
  <c r="O307" i="1"/>
  <c r="O314" i="1"/>
  <c r="O318" i="1" s="1"/>
  <c r="C316" i="1"/>
  <c r="D317" i="1"/>
  <c r="O341" i="1"/>
  <c r="O350" i="1" s="1"/>
  <c r="O299" i="1"/>
  <c r="O311" i="1" s="1"/>
  <c r="D301" i="1"/>
  <c r="K305" i="1"/>
  <c r="C308" i="1"/>
  <c r="C315" i="1"/>
  <c r="D316" i="1"/>
  <c r="O328" i="1"/>
  <c r="O347" i="1"/>
  <c r="C300" i="1"/>
  <c r="J304" i="1"/>
  <c r="O306" i="1"/>
  <c r="D308" i="1"/>
  <c r="J310" i="1"/>
  <c r="K120" i="1" l="1"/>
  <c r="D99" i="1"/>
  <c r="K99" i="1"/>
  <c r="D93" i="1"/>
  <c r="K116" i="1"/>
  <c r="K36" i="1"/>
  <c r="K44" i="1"/>
  <c r="D52" i="1"/>
  <c r="K51" i="1"/>
  <c r="K113" i="1"/>
  <c r="M345" i="1"/>
  <c r="J385" i="1"/>
  <c r="D380" i="1"/>
  <c r="D347" i="1"/>
  <c r="D327" i="1"/>
  <c r="K348" i="1"/>
  <c r="D64" i="1"/>
  <c r="D77" i="1" s="1"/>
  <c r="K89" i="1"/>
  <c r="K74" i="1"/>
  <c r="D310" i="1"/>
  <c r="K310" i="1"/>
  <c r="M310" i="1" s="1"/>
  <c r="K303" i="1"/>
  <c r="D303" i="1"/>
  <c r="D311" i="1" s="1"/>
  <c r="M303" i="1"/>
  <c r="M311" i="1" s="1"/>
  <c r="K106" i="1"/>
  <c r="J77" i="1"/>
  <c r="AL9" i="1"/>
  <c r="AI8" i="1"/>
  <c r="M328" i="1"/>
  <c r="M348" i="1"/>
  <c r="D80" i="1"/>
  <c r="K80" i="1"/>
  <c r="D119" i="1"/>
  <c r="D81" i="1"/>
  <c r="M349" i="1"/>
  <c r="J350" i="1"/>
  <c r="M341" i="1"/>
  <c r="M326" i="1"/>
  <c r="J330" i="1"/>
  <c r="D65" i="1"/>
  <c r="J124" i="1"/>
  <c r="D104" i="1"/>
  <c r="M304" i="1"/>
  <c r="K304" i="1"/>
  <c r="D304" i="1"/>
  <c r="J100" i="1"/>
  <c r="J311" i="1"/>
  <c r="K104" i="1"/>
  <c r="D72" i="1"/>
  <c r="AH9" i="1"/>
  <c r="W10" i="1"/>
  <c r="K327" i="1"/>
  <c r="M327" i="1" s="1"/>
  <c r="D384" i="1"/>
  <c r="D349" i="1"/>
  <c r="M347" i="1"/>
  <c r="K108" i="1"/>
  <c r="D97" i="1"/>
  <c r="M343" i="1"/>
  <c r="M329" i="1"/>
  <c r="L267" i="1"/>
  <c r="M267" i="1" s="1"/>
  <c r="K122" i="1"/>
  <c r="K309" i="1"/>
  <c r="M309" i="1" s="1"/>
  <c r="D309" i="1"/>
  <c r="K41" i="1"/>
  <c r="K68" i="1"/>
  <c r="K112" i="1"/>
  <c r="D112" i="1"/>
  <c r="K328" i="1"/>
  <c r="M305" i="1"/>
  <c r="D305" i="1"/>
  <c r="D66" i="1"/>
  <c r="K66" i="1"/>
  <c r="L272" i="1"/>
  <c r="M272" i="1" s="1"/>
  <c r="M342" i="1"/>
  <c r="D341" i="1"/>
  <c r="M344" i="1"/>
  <c r="L268" i="1"/>
  <c r="M268" i="1" s="1"/>
  <c r="L254" i="1"/>
  <c r="M254" i="1" s="1"/>
  <c r="W11" i="1" l="1"/>
  <c r="AH10" i="1"/>
  <c r="M350" i="1"/>
  <c r="AL10" i="1"/>
  <c r="AI9" i="1"/>
  <c r="M330" i="1"/>
  <c r="AL11" i="1" l="1"/>
  <c r="AI10" i="1"/>
  <c r="W12" i="1"/>
  <c r="W13" i="1" s="1"/>
  <c r="AH11" i="1"/>
  <c r="W14" i="1" l="1"/>
  <c r="AH13" i="1"/>
  <c r="AL12" i="1"/>
  <c r="AL13" i="1" l="1"/>
  <c r="AI12" i="1"/>
  <c r="W15" i="1"/>
  <c r="W16" i="1" s="1"/>
  <c r="AH14" i="1"/>
  <c r="AH16" i="1" l="1"/>
  <c r="W17" i="1"/>
  <c r="AL14" i="1"/>
  <c r="AI13" i="1"/>
  <c r="AL15" i="1" l="1"/>
  <c r="AI14" i="1"/>
  <c r="W18" i="1"/>
  <c r="W19" i="1" s="1"/>
  <c r="AH17" i="1"/>
  <c r="W20" i="1" l="1"/>
  <c r="AH20" i="1" s="1"/>
  <c r="AH19" i="1"/>
  <c r="AL16" i="1"/>
  <c r="AI15" i="1"/>
  <c r="V148" i="1" s="1"/>
  <c r="V154" i="1" l="1"/>
  <c r="V159" i="1"/>
  <c r="V157" i="1"/>
  <c r="V164" i="1"/>
  <c r="AL17" i="1"/>
  <c r="AI16" i="1"/>
  <c r="AE35" i="1" s="1"/>
  <c r="AE39" i="1" l="1"/>
  <c r="AF39" i="1" s="1"/>
  <c r="AE38" i="1"/>
  <c r="AF38" i="1" s="1"/>
  <c r="AE37" i="1"/>
  <c r="AF37" i="1" s="1"/>
  <c r="AG39" i="1"/>
  <c r="AG37" i="1"/>
  <c r="AG38" i="1"/>
  <c r="AL18" i="1"/>
  <c r="AL19" i="1" s="1"/>
  <c r="AI17" i="1"/>
  <c r="W148" i="1" l="1"/>
  <c r="AE40" i="1"/>
  <c r="AL20" i="1"/>
  <c r="AI20" i="1" s="1"/>
  <c r="AI19" i="1"/>
  <c r="AE44" i="1" l="1"/>
  <c r="AF44" i="1" s="1"/>
  <c r="AE43" i="1"/>
  <c r="AF43" i="1" s="1"/>
  <c r="AE42" i="1"/>
  <c r="AF42" i="1" s="1"/>
  <c r="W164" i="1"/>
  <c r="W159" i="1"/>
  <c r="W154" i="1"/>
  <c r="W162" i="1"/>
  <c r="W1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Artur Lalak</author>
    <author>mail</author>
  </authors>
  <commentList>
    <comment ref="AA14" authorId="0" shapeId="0" xr:uid="{5BDC6702-5608-46D0-9BB7-BCD694A968D9}">
      <text>
        <r>
          <rPr>
            <b/>
            <sz val="9"/>
            <color indexed="81"/>
            <rFont val="Tahoma"/>
            <family val="2"/>
            <charset val="238"/>
          </rPr>
          <t>Artur Lalak:</t>
        </r>
        <r>
          <rPr>
            <sz val="9"/>
            <color indexed="81"/>
            <rFont val="Tahoma"/>
            <family val="2"/>
            <charset val="238"/>
          </rPr>
          <t xml:space="preserve">
civilian.txt</t>
        </r>
      </text>
    </comment>
    <comment ref="E17" authorId="0" shapeId="0" xr:uid="{3A30E4D7-42CA-4FCE-BBAD-5B25BDBA8302}">
      <text>
        <r>
          <rPr>
            <b/>
            <sz val="9"/>
            <color indexed="81"/>
            <rFont val="Tahoma"/>
            <family val="2"/>
            <charset val="238"/>
          </rPr>
          <t>Artur Lalak:</t>
        </r>
        <r>
          <rPr>
            <sz val="9"/>
            <color indexed="81"/>
            <rFont val="Tahoma"/>
            <family val="2"/>
            <charset val="238"/>
          </rPr>
          <t xml:space="preserve">
2,5 - BICE, Ablaze</t>
        </r>
      </text>
    </comment>
    <comment ref="AA19" authorId="0" shapeId="0" xr:uid="{1B121318-ADCD-4359-97D9-5EF3156F2764}">
      <text>
        <r>
          <rPr>
            <b/>
            <sz val="9"/>
            <color indexed="81"/>
            <rFont val="Tahoma"/>
            <family val="2"/>
            <charset val="238"/>
          </rPr>
          <t>Artur Lalak:</t>
        </r>
        <r>
          <rPr>
            <sz val="9"/>
            <color indexed="81"/>
            <rFont val="Tahoma"/>
            <family val="2"/>
            <charset val="238"/>
          </rPr>
          <t xml:space="preserve">
civilian.txt</t>
        </r>
      </text>
    </comment>
    <comment ref="B210" authorId="1" shapeId="0" xr:uid="{6543FF5F-078F-4A6D-9416-D3687EB4FC77}">
      <text>
        <r>
          <rPr>
            <b/>
            <sz val="9"/>
            <color indexed="81"/>
            <rFont val="Tahoma"/>
            <family val="2"/>
            <charset val="238"/>
          </rPr>
          <t>mail:</t>
        </r>
        <r>
          <rPr>
            <sz val="9"/>
            <color indexed="81"/>
            <rFont val="Tahoma"/>
            <family val="2"/>
            <charset val="238"/>
          </rPr>
          <t xml:space="preserve">
M - małe
Ś - średnie
Ć - ciężkie
SĆ - super ciężkie</t>
        </r>
      </text>
    </comment>
    <comment ref="J275" authorId="0" shapeId="0" xr:uid="{C1903F84-552A-43D7-BEAE-74D09FDB655F}">
      <text>
        <r>
          <rPr>
            <b/>
            <sz val="9"/>
            <color indexed="81"/>
            <rFont val="Tahoma"/>
            <family val="2"/>
            <charset val="238"/>
          </rPr>
          <t>Artur Lalak:</t>
        </r>
        <r>
          <rPr>
            <sz val="9"/>
            <color indexed="81"/>
            <rFont val="Tahoma"/>
            <family val="2"/>
            <charset val="238"/>
          </rPr>
          <t xml:space="preserve">
1 jednostka w grze = 10 szt. broni</t>
        </r>
      </text>
    </comment>
    <comment ref="E294" authorId="0" shapeId="0" xr:uid="{85A98CA7-F0E4-4826-914F-2E8F1140E8C9}">
      <text>
        <r>
          <rPr>
            <b/>
            <sz val="9"/>
            <color indexed="81"/>
            <rFont val="Tahoma"/>
            <family val="2"/>
            <charset val="238"/>
          </rPr>
          <t>Artur Lalak:</t>
        </r>
        <r>
          <rPr>
            <sz val="9"/>
            <color indexed="81"/>
            <rFont val="Tahoma"/>
            <family val="2"/>
            <charset val="238"/>
          </rPr>
          <t xml:space="preserve">
2,5 - BICE, Ablaze</t>
        </r>
      </text>
    </comment>
    <comment ref="E323" authorId="0" shapeId="0" xr:uid="{2A254841-F27D-4FE6-A942-BF6C03A92060}">
      <text>
        <r>
          <rPr>
            <b/>
            <sz val="9"/>
            <color indexed="81"/>
            <rFont val="Tahoma"/>
            <family val="2"/>
            <charset val="238"/>
          </rPr>
          <t>Artur Lalak:</t>
        </r>
        <r>
          <rPr>
            <sz val="9"/>
            <color indexed="81"/>
            <rFont val="Tahoma"/>
            <family val="2"/>
            <charset val="238"/>
          </rPr>
          <t xml:space="preserve">
2,5 - BICE, Ablaze</t>
        </r>
      </text>
    </comment>
    <comment ref="E377" authorId="0" shapeId="0" xr:uid="{9DD14F94-7E23-4D18-A579-C8DC3B89DC64}">
      <text>
        <r>
          <rPr>
            <b/>
            <sz val="9"/>
            <color indexed="81"/>
            <rFont val="Tahoma"/>
            <family val="2"/>
            <charset val="238"/>
          </rPr>
          <t>Artur Lalak:</t>
        </r>
        <r>
          <rPr>
            <sz val="9"/>
            <color indexed="81"/>
            <rFont val="Tahoma"/>
            <family val="2"/>
            <charset val="238"/>
          </rPr>
          <t xml:space="preserve">
2,5 - BICE, Ablaze</t>
        </r>
      </text>
    </comment>
  </commentList>
</comments>
</file>

<file path=xl/sharedStrings.xml><?xml version="1.0" encoding="utf-8"?>
<sst xmlns="http://schemas.openxmlformats.org/spreadsheetml/2006/main" count="768" uniqueCount="470">
  <si>
    <t>Factory (indywidual test)</t>
  </si>
  <si>
    <t>Start value base effeciency for 1 factory in 1 day if 100% Cap</t>
  </si>
  <si>
    <t>00_defines.lua</t>
  </si>
  <si>
    <t>BICE</t>
  </si>
  <si>
    <t>Lalak</t>
  </si>
  <si>
    <t>enter actual Efficiency Cap</t>
  </si>
  <si>
    <t xml:space="preserve">BASE_FACTORY_MAX_EFFICIENCY_FACTOR = </t>
  </si>
  <si>
    <t>START BASE EFFECIENCY</t>
  </si>
  <si>
    <t>enter the number of factories</t>
  </si>
  <si>
    <t>~Output</t>
  </si>
  <si>
    <t>USA</t>
  </si>
  <si>
    <t>Indiv</t>
  </si>
  <si>
    <t>Consumer Econnomy</t>
  </si>
  <si>
    <t>Value</t>
  </si>
  <si>
    <t>Focus</t>
  </si>
  <si>
    <t>Industrial</t>
  </si>
  <si>
    <t>Resource</t>
  </si>
  <si>
    <t>Other</t>
  </si>
  <si>
    <t>Sum</t>
  </si>
  <si>
    <t>Policies</t>
  </si>
  <si>
    <t>Education Policy (-3% to +5%)</t>
  </si>
  <si>
    <t>industry.txt</t>
  </si>
  <si>
    <t>BASE_FACTORY_START_EFFICIENCY_FACTOR</t>
  </si>
  <si>
    <r>
      <t xml:space="preserve">Add % </t>
    </r>
    <r>
      <rPr>
        <b/>
        <sz val="11"/>
        <color theme="1"/>
        <rFont val="Aptos Narrow"/>
        <family val="2"/>
        <scheme val="minor"/>
      </rPr>
      <t>output production</t>
    </r>
    <r>
      <rPr>
        <sz val="11"/>
        <color theme="1"/>
        <rFont val="Aptos Narrow"/>
        <family val="2"/>
        <charset val="238"/>
        <scheme val="minor"/>
      </rPr>
      <t xml:space="preserve"> (Value from Cap)</t>
    </r>
  </si>
  <si>
    <t>START</t>
  </si>
  <si>
    <t>Research</t>
  </si>
  <si>
    <t>Basic Machine Tools</t>
  </si>
  <si>
    <t>production_factory_max_efficiency_factor</t>
  </si>
  <si>
    <t>and</t>
  </si>
  <si>
    <t>Add Value</t>
  </si>
  <si>
    <t>Fluorescent Lighting</t>
  </si>
  <si>
    <t>Dispresed Industry I</t>
  </si>
  <si>
    <t>BI_scripted_gui_l_english.yml</t>
  </si>
  <si>
    <t>SUM</t>
  </si>
  <si>
    <t>(Production value 1 factory for1 day</t>
  </si>
  <si>
    <t>Improwed Machine Tools</t>
  </si>
  <si>
    <t>\n§YStarting Production Efficiency§!\nBase: §Y7.00%§!\</t>
  </si>
  <si>
    <t>Tool Maintenance</t>
  </si>
  <si>
    <t>Dispresed Industry II</t>
  </si>
  <si>
    <t>TEST CALC</t>
  </si>
  <si>
    <t>Skills and Training</t>
  </si>
  <si>
    <t>enter the weapon cost</t>
  </si>
  <si>
    <t>Advanced Machine Tools</t>
  </si>
  <si>
    <t>Dispresed Industry III</t>
  </si>
  <si>
    <r>
      <t xml:space="preserve">BASE_FACTORY_SPEED_NAV = </t>
    </r>
    <r>
      <rPr>
        <b/>
        <sz val="11"/>
        <color rgb="FF0070C0"/>
        <rFont val="Aptos Narrow"/>
        <family val="2"/>
        <scheme val="minor"/>
      </rPr>
      <t>4.2</t>
    </r>
  </si>
  <si>
    <t>pcs per day if 100% efficiency production</t>
  </si>
  <si>
    <r>
      <t xml:space="preserve">BASE_FACTORY_SPEED = </t>
    </r>
    <r>
      <rPr>
        <b/>
        <sz val="11"/>
        <color rgb="FF00B050"/>
        <rFont val="Aptos Narrow"/>
        <family val="2"/>
        <scheme val="minor"/>
      </rPr>
      <t>3.2</t>
    </r>
  </si>
  <si>
    <t>pcs per day for actual effeciency CAP</t>
  </si>
  <si>
    <t>Assembly Line Production</t>
  </si>
  <si>
    <t>Heliarc Welding</t>
  </si>
  <si>
    <t>Dispresed Industry IV</t>
  </si>
  <si>
    <t>Wartość produkcyjna</t>
  </si>
  <si>
    <t>Base</t>
  </si>
  <si>
    <t>E. Cap</t>
  </si>
  <si>
    <t>F. Output</t>
  </si>
  <si>
    <t>Streamlined Line</t>
  </si>
  <si>
    <t>Dispresed Industry V</t>
  </si>
  <si>
    <t>BASE_FACTORY_SPEED_MIL =</t>
  </si>
  <si>
    <t>Modern Machine Tools</t>
  </si>
  <si>
    <t>Fabryk</t>
  </si>
  <si>
    <t>Automated Assembly Lines</t>
  </si>
  <si>
    <t>dla 1/dzień</t>
  </si>
  <si>
    <t>Pcs/year</t>
  </si>
  <si>
    <t>Days/1 f</t>
  </si>
  <si>
    <t>Need F.</t>
  </si>
  <si>
    <t>Factors</t>
  </si>
  <si>
    <t>Days</t>
  </si>
  <si>
    <t>rbh</t>
  </si>
  <si>
    <t>Chemical Industry IV</t>
  </si>
  <si>
    <t>Kr43</t>
  </si>
  <si>
    <t>Industrial Grid Expansion</t>
  </si>
  <si>
    <t>Truck</t>
  </si>
  <si>
    <t>StuG III</t>
  </si>
  <si>
    <t>L. Tank</t>
  </si>
  <si>
    <t>Pz 38 G</t>
  </si>
  <si>
    <t>M. Tank</t>
  </si>
  <si>
    <t>Pz III M</t>
  </si>
  <si>
    <t>H. Tank</t>
  </si>
  <si>
    <t>Pz IV F</t>
  </si>
  <si>
    <t>Plane 1 eng</t>
  </si>
  <si>
    <t>Panther</t>
  </si>
  <si>
    <t>Plane 2 eng</t>
  </si>
  <si>
    <t>Tiger</t>
  </si>
  <si>
    <t>Gun 75</t>
  </si>
  <si>
    <t>Prod 1/f</t>
  </si>
  <si>
    <t>Tiger II</t>
  </si>
  <si>
    <t xml:space="preserve">Gun 150 </t>
  </si>
  <si>
    <t>! Day</t>
  </si>
  <si>
    <t>1 Year</t>
  </si>
  <si>
    <t>Rifle</t>
  </si>
  <si>
    <t>1943 factory distrubuted:</t>
  </si>
  <si>
    <t>Game</t>
  </si>
  <si>
    <t>Factory</t>
  </si>
  <si>
    <t>History</t>
  </si>
  <si>
    <t>MG</t>
  </si>
  <si>
    <t>Infantry</t>
  </si>
  <si>
    <t>Price</t>
  </si>
  <si>
    <t>pcs/day</t>
  </si>
  <si>
    <t>pcs/year</t>
  </si>
  <si>
    <t>Pcs/day</t>
  </si>
  <si>
    <t>Need IC</t>
  </si>
  <si>
    <t>Overall pcs</t>
  </si>
  <si>
    <t>Armoured</t>
  </si>
  <si>
    <t xml:space="preserve">Pz II </t>
  </si>
  <si>
    <t>Aircraft</t>
  </si>
  <si>
    <t>Pz II [Wespe]</t>
  </si>
  <si>
    <t>Pz II [Marder II]</t>
  </si>
  <si>
    <t>Pz 38(t) [Marder III]</t>
  </si>
  <si>
    <t>NEW</t>
  </si>
  <si>
    <t>Pz 38(t) [Grille]</t>
  </si>
  <si>
    <t>Pz III N</t>
  </si>
  <si>
    <t>Pz III Flame</t>
  </si>
  <si>
    <t>Pz III [StuG III]</t>
  </si>
  <si>
    <t>Pz III [StuH 42]</t>
  </si>
  <si>
    <t>1944 factory distrubuted:</t>
  </si>
  <si>
    <t>Pz IV [Pz IV F]</t>
  </si>
  <si>
    <t>Pz IV [StuG IV]</t>
  </si>
  <si>
    <t>Pz IV [Brumbar]</t>
  </si>
  <si>
    <t>Pz IV [Nashorn]</t>
  </si>
  <si>
    <t>After in add speed</t>
  </si>
  <si>
    <t>Pz IV [Hummel]</t>
  </si>
  <si>
    <t>Cost</t>
  </si>
  <si>
    <t>Used F.</t>
  </si>
  <si>
    <t>Ov. Output</t>
  </si>
  <si>
    <t>Bonus</t>
  </si>
  <si>
    <t>Infrastr.</t>
  </si>
  <si>
    <t>C. Speed</t>
  </si>
  <si>
    <t>Jgdpanther</t>
  </si>
  <si>
    <t>Synthetic</t>
  </si>
  <si>
    <t>Supply</t>
  </si>
  <si>
    <t>Ferdinand</t>
  </si>
  <si>
    <t>Pz 38(t) [Hetzer]</t>
  </si>
  <si>
    <t xml:space="preserve">BASE_FACTORY_SPEED = </t>
  </si>
  <si>
    <t>Ablaze</t>
  </si>
  <si>
    <t>BlackICE</t>
  </si>
  <si>
    <t>Me (NEW)</t>
  </si>
  <si>
    <t>Baze</t>
  </si>
  <si>
    <t>add lvl</t>
  </si>
  <si>
    <t>Convert</t>
  </si>
  <si>
    <t>infrastructure</t>
  </si>
  <si>
    <t>supply_node</t>
  </si>
  <si>
    <t>rail_way</t>
  </si>
  <si>
    <t>Pz IV [Jgdpz IV]</t>
  </si>
  <si>
    <t>air_base</t>
  </si>
  <si>
    <t>Pz IV [Jgdpz IV/70]</t>
  </si>
  <si>
    <t>anti_air_building</t>
  </si>
  <si>
    <t>radar_station</t>
  </si>
  <si>
    <t>common\scripted_effects\resources_scripted_effects.txt</t>
  </si>
  <si>
    <t>arms_factory</t>
  </si>
  <si>
    <t>@FUEL_OUTPUT = 60</t>
  </si>
  <si>
    <t>#Zawsze musi być równe fuel_gain_from_states (w buildings dla value synthetic_refinery) razy 24.</t>
  </si>
  <si>
    <t>industrial_complex</t>
  </si>
  <si>
    <t>Pz IV [Mobelwagen]</t>
  </si>
  <si>
    <t>dockyard</t>
  </si>
  <si>
    <t>fuel_gain_from_states</t>
  </si>
  <si>
    <t>PZ IV [Wirbelwind]</t>
  </si>
  <si>
    <t>shipyard</t>
  </si>
  <si>
    <t>Pz IV [Ostwind]</t>
  </si>
  <si>
    <t>subyard</t>
  </si>
  <si>
    <t>fuel_silo</t>
  </si>
  <si>
    <t>synthetic_refinery</t>
  </si>
  <si>
    <t>synthetic_rubber_refinery</t>
  </si>
  <si>
    <t>rocket_site</t>
  </si>
  <si>
    <t>Jagdtiger</t>
  </si>
  <si>
    <t>steel_refinery</t>
  </si>
  <si>
    <t>hydro_steel_refinery</t>
  </si>
  <si>
    <t>aluminium_refinery</t>
  </si>
  <si>
    <t>hydro_aluminium_refinery</t>
  </si>
  <si>
    <t>Bf 109</t>
  </si>
  <si>
    <t>naval_base</t>
  </si>
  <si>
    <t>Fw 190</t>
  </si>
  <si>
    <t xml:space="preserve">bunker </t>
  </si>
  <si>
    <t>Do 217</t>
  </si>
  <si>
    <t>pillbox</t>
  </si>
  <si>
    <t>He 219</t>
  </si>
  <si>
    <t>coastal_bunker</t>
  </si>
  <si>
    <t>Ju 88</t>
  </si>
  <si>
    <t>stronghold_network</t>
  </si>
  <si>
    <t>Bf 110</t>
  </si>
  <si>
    <t>nuclear_reactor</t>
  </si>
  <si>
    <t>Me 210</t>
  </si>
  <si>
    <t>nuclear_reactor_heavy_water</t>
  </si>
  <si>
    <t>Me 410</t>
  </si>
  <si>
    <t>mines (all types)</t>
  </si>
  <si>
    <t>research_centre</t>
  </si>
  <si>
    <t>Hs 129</t>
  </si>
  <si>
    <t>artillery_assembly</t>
  </si>
  <si>
    <t>Ju 87</t>
  </si>
  <si>
    <t>engine_assembly</t>
  </si>
  <si>
    <t>He 111</t>
  </si>
  <si>
    <t>tank_assembly</t>
  </si>
  <si>
    <t>air_assembly</t>
  </si>
  <si>
    <t>He 177</t>
  </si>
  <si>
    <t>farm</t>
  </si>
  <si>
    <t>power_plant</t>
  </si>
  <si>
    <t>Ju 188</t>
  </si>
  <si>
    <t>hydro_power</t>
  </si>
  <si>
    <t>Rec Short</t>
  </si>
  <si>
    <t>storage</t>
  </si>
  <si>
    <t>Rec Long</t>
  </si>
  <si>
    <t>food_storage</t>
  </si>
  <si>
    <t>Seaplanes</t>
  </si>
  <si>
    <t>recruitment_building</t>
  </si>
  <si>
    <t>Transport</t>
  </si>
  <si>
    <t>police_station</t>
  </si>
  <si>
    <t>nuclear_facility</t>
  </si>
  <si>
    <t>electronics_facility</t>
  </si>
  <si>
    <t>air_facility</t>
  </si>
  <si>
    <t>land_facility</t>
  </si>
  <si>
    <t>Bf 109K</t>
  </si>
  <si>
    <t>naval_facility</t>
  </si>
  <si>
    <t>mega_gun_emplacement</t>
  </si>
  <si>
    <t>Me 163</t>
  </si>
  <si>
    <t>Me 262</t>
  </si>
  <si>
    <r>
      <t xml:space="preserve">1.08.1941 w mod ABLAZE posiadam </t>
    </r>
    <r>
      <rPr>
        <b/>
        <sz val="11"/>
        <color rgb="FFFF0000"/>
        <rFont val="Aptos Narrow"/>
        <family val="2"/>
        <scheme val="minor"/>
      </rPr>
      <t>456 fabryk</t>
    </r>
    <r>
      <rPr>
        <sz val="11"/>
        <color theme="1"/>
        <rFont val="Aptos Narrow"/>
        <family val="2"/>
        <charset val="238"/>
        <scheme val="minor"/>
      </rPr>
      <t xml:space="preserve"> (produkcja jest jak w realu) przy takiej samej wartości podstawowej produkcyjnej</t>
    </r>
    <r>
      <rPr>
        <b/>
        <u/>
        <sz val="11"/>
        <color theme="1"/>
        <rFont val="Aptos Narrow"/>
        <family val="2"/>
        <scheme val="minor"/>
      </rPr>
      <t xml:space="preserve"> = 2,5</t>
    </r>
  </si>
  <si>
    <t xml:space="preserve">Sprzęt </t>
  </si>
  <si>
    <t>efeltywności</t>
  </si>
  <si>
    <t>Czołgi lekkie</t>
  </si>
  <si>
    <t>Czołgi średnie</t>
  </si>
  <si>
    <t xml:space="preserve">Samoloty </t>
  </si>
  <si>
    <t>01.01.1939 =</t>
  </si>
  <si>
    <t>BLACKICE</t>
  </si>
  <si>
    <t>18.05.1939 =</t>
  </si>
  <si>
    <t>24.06.1940 =</t>
  </si>
  <si>
    <t>fabryki wojskowe</t>
  </si>
  <si>
    <t>20.09.1943 =</t>
  </si>
  <si>
    <t>In GAME IC</t>
  </si>
  <si>
    <t>month stuck</t>
  </si>
  <si>
    <t>ABLAZE</t>
  </si>
  <si>
    <t>MIN</t>
  </si>
  <si>
    <t>MAX</t>
  </si>
  <si>
    <t>02.06.1940 =</t>
  </si>
  <si>
    <t>fabryki wojskowe (przy znacznie mniejszej ilości wyposażenia pozostałego)</t>
  </si>
  <si>
    <t xml:space="preserve">Pz IV </t>
  </si>
  <si>
    <t>RM</t>
  </si>
  <si>
    <t>01.08.1941 =</t>
  </si>
  <si>
    <t>LALAK</t>
  </si>
  <si>
    <t xml:space="preserve">30.01.1938 = </t>
  </si>
  <si>
    <t>Tiger I</t>
  </si>
  <si>
    <t>20.02.1940 =</t>
  </si>
  <si>
    <t>Need fabric</t>
  </si>
  <si>
    <t>01.01.1941 =</t>
  </si>
  <si>
    <t>17.03.1941 =</t>
  </si>
  <si>
    <t>21.08.1939 =</t>
  </si>
  <si>
    <t>01.04.1940 =</t>
  </si>
  <si>
    <t>09.04.1942 =</t>
  </si>
  <si>
    <t>24.05.1943 =</t>
  </si>
  <si>
    <t>1 Tiger = 2 Panther or 3 Bf 109</t>
  </si>
  <si>
    <t>If Tiger 300.000 rb, to T-34 35.000-50.000 and Sherman 10.000.</t>
  </si>
  <si>
    <t>author Steven Zaloga in “Armored Champion: The Top Tanks of World War II”, the number of man-hours required to produce a T-34 was never more than 10,000 and declined significantly over time. In early 1943, Plant No. 183 at Nizhni-Tagil needed as few as 3,719 man-hours to make a T-34.</t>
  </si>
  <si>
    <t>Shermann</t>
  </si>
  <si>
    <t>T-34</t>
  </si>
  <si>
    <t>Figures taken from Table E5, Harrison, Accounting for War, Cambridge University Press, 2002.</t>
  </si>
  <si>
    <t>Year/hours worked per unit of output</t>
  </si>
  <si>
    <t>Pe-2 bomber: 41/25300, 43/13200</t>
  </si>
  <si>
    <t>Il-4 bomber: 41/20000, 43/12500</t>
  </si>
  <si>
    <t>Il-2 fighter-bomber: 41/9500, 43/5900</t>
  </si>
  <si>
    <t>KV heavy tank: 41/14600, 43/7200</t>
  </si>
  <si>
    <t>T-34: 41/8000, 43/3700</t>
  </si>
  <si>
    <t>152mm howitzer: 41/4500, 43/2400 or alternatively 41/4370, 44/3170, 45/3128</t>
  </si>
  <si>
    <t>divisional gun [unspecified]: 41/2200, 43/600</t>
  </si>
  <si>
    <t>76mm regimental gun: 41/1200, 43/800</t>
  </si>
  <si>
    <t>large-calibre machine gun [unspecified]: 41/642, 43/329</t>
  </si>
  <si>
    <t>rifle [unspecified]: 41/12, 43/9</t>
  </si>
  <si>
    <t>TT cartridge (per 1000): 41/13, 43/10.8 or alternatively 41/11.4, 42/11.5, 44/10.6, 45/9.7</t>
  </si>
  <si>
    <t>1 Fabryka = 5000 ludzi</t>
  </si>
  <si>
    <t>2 zmiany po 2500 ludzi przez 12 godzin = 60.000 rbg</t>
  </si>
  <si>
    <t>Nocna zmiana była niemal o połowę mniej wydajna, co daje 45.000 rbg</t>
  </si>
  <si>
    <t xml:space="preserve">Przyjąć więc można, że: </t>
  </si>
  <si>
    <t>60.000 rbb = BASE_FACTORY_SPEED_MIL = 6 (przy 100% wydajności)</t>
  </si>
  <si>
    <t>Typ</t>
  </si>
  <si>
    <t>Price RM</t>
  </si>
  <si>
    <t>Rbg</t>
  </si>
  <si>
    <t>koszt za tonę</t>
  </si>
  <si>
    <t>Waga (t)</t>
  </si>
  <si>
    <t>Steel in game</t>
  </si>
  <si>
    <t>80 cm Dora</t>
  </si>
  <si>
    <t>7+1</t>
  </si>
  <si>
    <r>
      <t>2000</t>
    </r>
    <r>
      <rPr>
        <i/>
        <sz val="11"/>
        <color rgb="FFFF0000"/>
        <rFont val="Aptos Narrow"/>
        <family val="2"/>
        <charset val="238"/>
        <scheme val="minor"/>
      </rPr>
      <t xml:space="preserve"> (17000)</t>
    </r>
  </si>
  <si>
    <t>6+1</t>
  </si>
  <si>
    <t>Pz IV</t>
  </si>
  <si>
    <t>Pz III</t>
  </si>
  <si>
    <t>Pz 38(t)</t>
  </si>
  <si>
    <t>Pz II</t>
  </si>
  <si>
    <t>Pz I</t>
  </si>
  <si>
    <t>StuG IV</t>
  </si>
  <si>
    <t>Maus</t>
  </si>
  <si>
    <t>?</t>
  </si>
  <si>
    <t>Pz 35</t>
  </si>
  <si>
    <t xml:space="preserve">Engine (steel) </t>
  </si>
  <si>
    <t>9000-3700</t>
  </si>
  <si>
    <t>Turret (steel)</t>
  </si>
  <si>
    <t>All type Hull (steel)</t>
  </si>
  <si>
    <t>Armour (steel)</t>
  </si>
  <si>
    <t>For all 10 mm</t>
  </si>
  <si>
    <t>Korekta do uwzględnienia wzrostu po latach</t>
  </si>
  <si>
    <t>T-60</t>
  </si>
  <si>
    <t>Pz III A</t>
  </si>
  <si>
    <t>Pz III E</t>
  </si>
  <si>
    <t>Pz III F</t>
  </si>
  <si>
    <t>Pz III J</t>
  </si>
  <si>
    <t>Pz III L-M</t>
  </si>
  <si>
    <t>http://www.stardestroyer.net/Armour/ShepStuff/Website/EconomicStats.htm</t>
  </si>
  <si>
    <t>Fighters</t>
  </si>
  <si>
    <t>Min</t>
  </si>
  <si>
    <t>Max</t>
  </si>
  <si>
    <t>Averag</t>
  </si>
  <si>
    <t>Spitfire</t>
  </si>
  <si>
    <t>Hurricane</t>
  </si>
  <si>
    <t>Whirlwind (2 engin)</t>
  </si>
  <si>
    <t>Tornado</t>
  </si>
  <si>
    <t>Bombers</t>
  </si>
  <si>
    <t>Battle</t>
  </si>
  <si>
    <t>Whitley</t>
  </si>
  <si>
    <t>Wellington</t>
  </si>
  <si>
    <t>Manchester</t>
  </si>
  <si>
    <t>Hallifax</t>
  </si>
  <si>
    <t>Stirling</t>
  </si>
  <si>
    <t>Avro Lancaster</t>
  </si>
  <si>
    <t>Me-109 C</t>
  </si>
  <si>
    <t>Me-109 D</t>
  </si>
  <si>
    <t>Me-109 E</t>
  </si>
  <si>
    <t>Me 109 F</t>
  </si>
  <si>
    <t>Me 109 G</t>
  </si>
  <si>
    <t>Me 109 G-14</t>
  </si>
  <si>
    <t>He-219</t>
  </si>
  <si>
    <t>P-38</t>
  </si>
  <si>
    <t>Ił-2 Sturmovik</t>
  </si>
  <si>
    <t>B-17</t>
  </si>
  <si>
    <t>B-24</t>
  </si>
  <si>
    <t>B-25</t>
  </si>
  <si>
    <t>C-46 Curtiss</t>
  </si>
  <si>
    <t>C-54 Douglas</t>
  </si>
  <si>
    <t>P-38 Lockheed [2]</t>
  </si>
  <si>
    <t>P-47 [1]</t>
  </si>
  <si>
    <t>M1 Grand (1939)</t>
  </si>
  <si>
    <t>M1 Grand (1941)</t>
  </si>
  <si>
    <t>M1 Grand (1943)</t>
  </si>
  <si>
    <t>MG-34</t>
  </si>
  <si>
    <t>MG-42</t>
  </si>
  <si>
    <t>Soviet 152 mm Howitzer (1941)</t>
  </si>
  <si>
    <t>Soviet 152 mm Howitzer (1943)</t>
  </si>
  <si>
    <t>Destroyer (German)</t>
  </si>
  <si>
    <t>U-boot</t>
  </si>
  <si>
    <t>BB</t>
  </si>
  <si>
    <t>CV</t>
  </si>
  <si>
    <t>TEST GAME</t>
  </si>
  <si>
    <t>for 1/day</t>
  </si>
  <si>
    <t>In Game</t>
  </si>
  <si>
    <t>IC</t>
  </si>
  <si>
    <t>Do 17</t>
  </si>
  <si>
    <t>Do 18</t>
  </si>
  <si>
    <t>He 115</t>
  </si>
  <si>
    <t>Pz 38 (t)</t>
  </si>
  <si>
    <t>v.8</t>
  </si>
  <si>
    <t>v.7</t>
  </si>
  <si>
    <t>1936-1938</t>
  </si>
  <si>
    <t>pcs/3 year</t>
  </si>
  <si>
    <t>Pcs/3 year</t>
  </si>
  <si>
    <t>IN GAME</t>
  </si>
  <si>
    <t>Ilość pomniejszona o 600 Pz I w 3 dywizjach i 140 na magazynie</t>
  </si>
  <si>
    <t>1937/38</t>
  </si>
  <si>
    <t>1939/40</t>
  </si>
  <si>
    <t>1940/41</t>
  </si>
  <si>
    <t>1941/42</t>
  </si>
  <si>
    <t>1942/43</t>
  </si>
  <si>
    <t>A</t>
  </si>
  <si>
    <t>B</t>
  </si>
  <si>
    <t>C</t>
  </si>
  <si>
    <t>D</t>
  </si>
  <si>
    <t>E</t>
  </si>
  <si>
    <t>F</t>
  </si>
  <si>
    <t>G</t>
  </si>
  <si>
    <t>H</t>
  </si>
  <si>
    <t>J</t>
  </si>
  <si>
    <t>L</t>
  </si>
  <si>
    <t>M</t>
  </si>
  <si>
    <t>N</t>
  </si>
  <si>
    <t>1938/39</t>
  </si>
  <si>
    <t>1943/44</t>
  </si>
  <si>
    <t>1944/45</t>
  </si>
  <si>
    <r>
      <rPr>
        <b/>
        <sz val="11"/>
        <color rgb="FF00B050"/>
        <rFont val="Aptos Narrow"/>
        <family val="2"/>
        <scheme val="minor"/>
      </rPr>
      <t>D</t>
    </r>
    <r>
      <rPr>
        <sz val="11"/>
        <color theme="1"/>
        <rFont val="Aptos Narrow"/>
        <family val="2"/>
        <charset val="238"/>
        <scheme val="minor"/>
      </rPr>
      <t>/E</t>
    </r>
  </si>
  <si>
    <r>
      <rPr>
        <b/>
        <sz val="11"/>
        <color rgb="FF00B050"/>
        <rFont val="Aptos Narrow"/>
        <family val="2"/>
        <scheme val="minor"/>
      </rPr>
      <t>F2</t>
    </r>
    <r>
      <rPr>
        <sz val="11"/>
        <color theme="1"/>
        <rFont val="Aptos Narrow"/>
        <family val="2"/>
        <charset val="238"/>
        <scheme val="minor"/>
      </rPr>
      <t>/G</t>
    </r>
  </si>
  <si>
    <t>He 51B</t>
  </si>
  <si>
    <t>He 51B/C</t>
  </si>
  <si>
    <t>He 59</t>
  </si>
  <si>
    <t>He 59/Do 22</t>
  </si>
  <si>
    <t>Do 16</t>
  </si>
  <si>
    <t>Do 24</t>
  </si>
  <si>
    <t>Ju 52</t>
  </si>
  <si>
    <t>Ilość pomniejszona o 342 He 51B w 7 skrzydłach</t>
  </si>
  <si>
    <t>1938/41</t>
  </si>
  <si>
    <t>1940/42</t>
  </si>
  <si>
    <t>1942/45</t>
  </si>
  <si>
    <t>K</t>
  </si>
  <si>
    <t>Real 1939</t>
  </si>
  <si>
    <t>Planes</t>
  </si>
  <si>
    <t>Germany</t>
  </si>
  <si>
    <t>~4500</t>
  </si>
  <si>
    <t>samolotów bojowych</t>
  </si>
  <si>
    <t>Real 1940</t>
  </si>
  <si>
    <t>Francja</t>
  </si>
  <si>
    <t>Myśliwce</t>
  </si>
  <si>
    <t>Bombowce</t>
  </si>
  <si>
    <t>Rozpoznawcze</t>
  </si>
  <si>
    <t>Pozostałe</t>
  </si>
  <si>
    <t>W.Brytania</t>
  </si>
  <si>
    <t>~3700</t>
  </si>
  <si>
    <t>T-26</t>
  </si>
  <si>
    <t>BT-7</t>
  </si>
  <si>
    <t>T-37A</t>
  </si>
  <si>
    <t>T-28</t>
  </si>
  <si>
    <t>T-35</t>
  </si>
  <si>
    <t>&lt;1936</t>
  </si>
  <si>
    <t>Real</t>
  </si>
  <si>
    <t>All</t>
  </si>
  <si>
    <t>Army</t>
  </si>
  <si>
    <t>Stock</t>
  </si>
  <si>
    <t>BT-2 (Gun)</t>
  </si>
  <si>
    <t>BT-2 (2xMG)</t>
  </si>
  <si>
    <t>BT-2 (Gun/MG)</t>
  </si>
  <si>
    <t>BT-5 Early</t>
  </si>
  <si>
    <t>BT-5</t>
  </si>
  <si>
    <t>T-26 Mod 1931</t>
  </si>
  <si>
    <t>T-26 Mod 1933</t>
  </si>
  <si>
    <t>T-27</t>
  </si>
  <si>
    <t>T-18</t>
  </si>
  <si>
    <t>I-16 Type 4</t>
  </si>
  <si>
    <t>Można przyjąć, że suma z Type 5</t>
  </si>
  <si>
    <t>i_16_equipment_1</t>
  </si>
  <si>
    <t>I-15 (M-25)</t>
  </si>
  <si>
    <t>1938-39</t>
  </si>
  <si>
    <t>i_15_equipment_2</t>
  </si>
  <si>
    <t>I-15</t>
  </si>
  <si>
    <t>i_15_equipment_1</t>
  </si>
  <si>
    <t>I-7</t>
  </si>
  <si>
    <t>I-5</t>
  </si>
  <si>
    <t>X</t>
  </si>
  <si>
    <t>i_5_equipment_1</t>
  </si>
  <si>
    <t>TB-3 4M-34</t>
  </si>
  <si>
    <t>tb_3_bomber_equipment_3</t>
  </si>
  <si>
    <t>TB-3 4M-34RN</t>
  </si>
  <si>
    <t>tb_3_bomber_equipment_2</t>
  </si>
  <si>
    <t>TB-3 4M-17F</t>
  </si>
  <si>
    <t>tb_3_bomber_equipment_1</t>
  </si>
  <si>
    <t>TB-1</t>
  </si>
  <si>
    <t>tb_1_bomber_equipment_1</t>
  </si>
  <si>
    <t>R-Z Sh</t>
  </si>
  <si>
    <t>r_5_scout_equipment_2</t>
  </si>
  <si>
    <t>R-5 SSS Sh</t>
  </si>
  <si>
    <t>r_5_bomber_equipment_2</t>
  </si>
  <si>
    <t>R-5 CAS = R-5 Sh</t>
  </si>
  <si>
    <t>r_5_bomber_equipment_1</t>
  </si>
  <si>
    <t>I-Z</t>
  </si>
  <si>
    <t>i_z_equipment_1</t>
  </si>
  <si>
    <t>KR-6</t>
  </si>
  <si>
    <t>r_6_fighter_equipment_1</t>
  </si>
  <si>
    <t>R-5T</t>
  </si>
  <si>
    <t>r_5_scout_equipment_1</t>
  </si>
  <si>
    <t>R-6P (MR-6)</t>
  </si>
  <si>
    <t>r_6_naval_bomber_equipment_1</t>
  </si>
  <si>
    <t>TB-1P</t>
  </si>
  <si>
    <t>tb_1_naval_bomber_equipment_1</t>
  </si>
  <si>
    <t>R-6</t>
  </si>
  <si>
    <t>r_6_scout_equipment_1</t>
  </si>
  <si>
    <t>MBR-2</t>
  </si>
  <si>
    <t>U-2</t>
  </si>
  <si>
    <t>Def</t>
  </si>
  <si>
    <t>Priec</t>
  </si>
  <si>
    <t>Pz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</si>
</sst>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0.000"/>
    <numFmt numFmtId="166" formatCode="0.0"/>
    <numFmt numFmtId="167" formatCode="#,##0.0"/>
    <numFmt numFmtId="168" formatCode="#,##0.00_ ;\-#,##0.00\ "/>
    <numFmt numFmtId="169" formatCode="_-* #,##0_-;\-* #,##0_-;_-* &quot;-&quot;??_-;_-@_-"/>
  </numFmts>
  <fonts count="6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rgb="FF7030A0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sz val="11"/>
      <color rgb="FF0070C0"/>
      <name val="Aptos Narrow"/>
      <family val="2"/>
      <charset val="238"/>
      <scheme val="minor"/>
    </font>
    <font>
      <b/>
      <i/>
      <sz val="11"/>
      <name val="Aptos Narrow"/>
      <family val="2"/>
      <scheme val="minor"/>
    </font>
    <font>
      <sz val="11"/>
      <name val="Aptos Narrow"/>
      <family val="2"/>
      <charset val="238"/>
      <scheme val="minor"/>
    </font>
    <font>
      <b/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charset val="238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0"/>
      <color rgb="FFC0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9"/>
      <color rgb="FFFF0000"/>
      <name val="Aptos Narrow"/>
      <family val="2"/>
      <scheme val="minor"/>
    </font>
    <font>
      <sz val="8"/>
      <color theme="1"/>
      <name val="Aptos Narrow"/>
      <family val="2"/>
      <charset val="238"/>
      <scheme val="minor"/>
    </font>
    <font>
      <b/>
      <sz val="9"/>
      <color rgb="FF00B050"/>
      <name val="Aptos Narrow"/>
      <family val="2"/>
      <scheme val="minor"/>
    </font>
    <font>
      <sz val="9"/>
      <name val="Aptos Narrow"/>
      <family val="2"/>
      <scheme val="minor"/>
    </font>
    <font>
      <i/>
      <sz val="11"/>
      <color rgb="FF00B050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rgb="FFFF0000"/>
      <name val="Aptos Narrow"/>
      <family val="2"/>
      <charset val="238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rgb="FF7030A0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charset val="238"/>
      <scheme val="minor"/>
    </font>
    <font>
      <b/>
      <sz val="11"/>
      <color rgb="FFFF0000"/>
      <name val="Aptos Narrow"/>
      <family val="2"/>
      <charset val="238"/>
      <scheme val="minor"/>
    </font>
    <font>
      <strike/>
      <sz val="11"/>
      <color theme="1"/>
      <name val="Aptos Narrow"/>
      <family val="2"/>
      <charset val="238"/>
      <scheme val="minor"/>
    </font>
    <font>
      <i/>
      <sz val="9"/>
      <color theme="1"/>
      <name val="Aptos Narrow"/>
      <family val="2"/>
      <charset val="238"/>
      <scheme val="minor"/>
    </font>
    <font>
      <i/>
      <sz val="10"/>
      <name val="Aptos Narrow"/>
      <family val="2"/>
      <charset val="238"/>
      <scheme val="minor"/>
    </font>
    <font>
      <b/>
      <i/>
      <sz val="11"/>
      <color rgb="FFFF0000"/>
      <name val="Aptos Narrow"/>
      <family val="2"/>
      <charset val="238"/>
      <scheme val="minor"/>
    </font>
    <font>
      <i/>
      <sz val="11"/>
      <color rgb="FFFF0000"/>
      <name val="Aptos Narrow"/>
      <family val="2"/>
      <charset val="238"/>
      <scheme val="minor"/>
    </font>
    <font>
      <b/>
      <u/>
      <sz val="11"/>
      <color rgb="FF00B05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trike/>
      <u/>
      <sz val="10"/>
      <color rgb="FFC00000"/>
      <name val="Aptos Narrow"/>
      <family val="2"/>
      <scheme val="minor"/>
    </font>
    <font>
      <sz val="10"/>
      <color rgb="FFC0000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i/>
      <sz val="9"/>
      <color rgb="FF00B050"/>
      <name val="Aptos Narrow"/>
      <family val="2"/>
      <scheme val="minor"/>
    </font>
    <font>
      <b/>
      <i/>
      <sz val="11"/>
      <color theme="3"/>
      <name val="Aptos Narrow"/>
      <family val="2"/>
      <scheme val="minor"/>
    </font>
    <font>
      <i/>
      <sz val="11"/>
      <color theme="7" tint="0.39997558519241921"/>
      <name val="Aptos Narrow"/>
      <family val="2"/>
      <scheme val="minor"/>
    </font>
    <font>
      <b/>
      <u val="singleAccounting"/>
      <sz val="11"/>
      <color rgb="FF00B050"/>
      <name val="Aptos Narrow"/>
      <family val="2"/>
      <scheme val="minor"/>
    </font>
    <font>
      <sz val="11"/>
      <color rgb="FF00B050"/>
      <name val="Aptos Narrow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5">
    <xf numFmtId="0" fontId="0" fillId="0" borderId="0" xfId="0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9" fontId="5" fillId="0" borderId="0" xfId="2" applyFont="1" applyAlignment="1">
      <alignment horizontal="center" vertical="center"/>
    </xf>
    <xf numFmtId="0" fontId="6" fillId="0" borderId="0" xfId="0" applyFont="1"/>
    <xf numFmtId="0" fontId="4" fillId="0" borderId="4" xfId="0" applyFont="1" applyBorder="1" applyAlignment="1">
      <alignment horizontal="center" vertical="center"/>
    </xf>
    <xf numFmtId="0" fontId="7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0" fontId="8" fillId="2" borderId="4" xfId="2" applyNumberFormat="1" applyFont="1" applyFill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9" xfId="0" applyBorder="1"/>
    <xf numFmtId="0" fontId="0" fillId="0" borderId="10" xfId="0" applyBorder="1"/>
    <xf numFmtId="9" fontId="10" fillId="0" borderId="10" xfId="2" applyFont="1" applyBorder="1" applyAlignment="1">
      <alignment horizontal="center" vertical="center"/>
    </xf>
    <xf numFmtId="9" fontId="4" fillId="3" borderId="11" xfId="2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4" borderId="0" xfId="0" applyFont="1" applyFill="1"/>
    <xf numFmtId="0" fontId="0" fillId="4" borderId="0" xfId="0" applyFill="1"/>
    <xf numFmtId="9" fontId="10" fillId="0" borderId="0" xfId="2" applyFont="1" applyAlignment="1">
      <alignment horizontal="center"/>
    </xf>
    <xf numFmtId="0" fontId="10" fillId="0" borderId="0" xfId="0" applyFont="1" applyAlignment="1">
      <alignment horizontal="center"/>
    </xf>
    <xf numFmtId="9" fontId="4" fillId="3" borderId="0" xfId="2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0" fontId="10" fillId="6" borderId="0" xfId="0" applyFont="1" applyFill="1"/>
    <xf numFmtId="0" fontId="0" fillId="6" borderId="0" xfId="0" applyFill="1"/>
    <xf numFmtId="0" fontId="10" fillId="0" borderId="0" xfId="0" applyFont="1"/>
    <xf numFmtId="164" fontId="0" fillId="7" borderId="4" xfId="2" applyNumberFormat="1" applyFont="1" applyFill="1" applyBorder="1" applyAlignment="1">
      <alignment horizontal="center" vertical="center"/>
    </xf>
    <xf numFmtId="9" fontId="12" fillId="0" borderId="0" xfId="2" applyFont="1" applyAlignment="1">
      <alignment horizontal="center" vertical="center"/>
    </xf>
    <xf numFmtId="0" fontId="0" fillId="8" borderId="6" xfId="0" applyFill="1" applyBorder="1"/>
    <xf numFmtId="0" fontId="10" fillId="8" borderId="7" xfId="0" applyFont="1" applyFill="1" applyBorder="1"/>
    <xf numFmtId="0" fontId="0" fillId="8" borderId="7" xfId="0" applyFill="1" applyBorder="1"/>
    <xf numFmtId="9" fontId="10" fillId="0" borderId="7" xfId="2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9" fontId="4" fillId="3" borderId="7" xfId="2" applyFont="1" applyFill="1" applyBorder="1" applyAlignment="1">
      <alignment horizontal="center" vertical="center"/>
    </xf>
    <xf numFmtId="9" fontId="0" fillId="0" borderId="7" xfId="2" applyFont="1" applyBorder="1" applyAlignment="1">
      <alignment horizontal="center" vertical="center"/>
    </xf>
    <xf numFmtId="0" fontId="10" fillId="0" borderId="7" xfId="0" applyFont="1" applyBorder="1"/>
    <xf numFmtId="2" fontId="13" fillId="0" borderId="7" xfId="0" applyNumberFormat="1" applyFont="1" applyBorder="1" applyAlignment="1">
      <alignment horizontal="center" vertical="center"/>
    </xf>
    <xf numFmtId="9" fontId="0" fillId="0" borderId="8" xfId="2" applyFont="1" applyBorder="1" applyAlignment="1">
      <alignment horizontal="center" vertical="center"/>
    </xf>
    <xf numFmtId="165" fontId="0" fillId="7" borderId="4" xfId="2" applyNumberFormat="1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9" fontId="10" fillId="0" borderId="0" xfId="2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0" fillId="8" borderId="12" xfId="0" applyFill="1" applyBorder="1"/>
    <xf numFmtId="0" fontId="0" fillId="8" borderId="0" xfId="0" applyFill="1"/>
    <xf numFmtId="9" fontId="10" fillId="0" borderId="0" xfId="2" applyFont="1" applyBorder="1" applyAlignment="1">
      <alignment horizontal="center"/>
    </xf>
    <xf numFmtId="9" fontId="16" fillId="3" borderId="0" xfId="2" applyFont="1" applyFill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9" fontId="10" fillId="0" borderId="13" xfId="2" applyFont="1" applyBorder="1" applyAlignment="1">
      <alignment horizontal="center"/>
    </xf>
    <xf numFmtId="2" fontId="6" fillId="9" borderId="4" xfId="2" applyNumberFormat="1" applyFont="1" applyFill="1" applyBorder="1" applyAlignment="1">
      <alignment horizontal="center" vertical="center"/>
    </xf>
    <xf numFmtId="0" fontId="4" fillId="0" borderId="0" xfId="0" applyFont="1"/>
    <xf numFmtId="164" fontId="14" fillId="0" borderId="0" xfId="2" applyNumberFormat="1" applyFont="1" applyAlignment="1">
      <alignment horizontal="center" vertical="center"/>
    </xf>
    <xf numFmtId="9" fontId="14" fillId="0" borderId="0" xfId="2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0" xfId="0" applyNumberFormat="1"/>
    <xf numFmtId="2" fontId="0" fillId="0" borderId="4" xfId="2" applyNumberFormat="1" applyFont="1" applyFill="1" applyBorder="1" applyAlignment="1">
      <alignment horizontal="center" vertical="center"/>
    </xf>
    <xf numFmtId="164" fontId="12" fillId="0" borderId="0" xfId="2" applyNumberFormat="1" applyFont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164" fontId="0" fillId="0" borderId="0" xfId="2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2" fontId="11" fillId="2" borderId="4" xfId="0" applyNumberFormat="1" applyFont="1" applyFill="1" applyBorder="1" applyAlignment="1">
      <alignment horizontal="center" vertical="center"/>
    </xf>
    <xf numFmtId="0" fontId="17" fillId="8" borderId="12" xfId="0" applyFont="1" applyFill="1" applyBorder="1"/>
    <xf numFmtId="9" fontId="16" fillId="10" borderId="0" xfId="2" applyFont="1" applyFill="1" applyBorder="1" applyAlignment="1">
      <alignment horizontal="center" vertical="center"/>
    </xf>
    <xf numFmtId="2" fontId="13" fillId="10" borderId="0" xfId="0" applyNumberFormat="1" applyFont="1" applyFill="1" applyAlignment="1">
      <alignment horizontal="center" vertical="center"/>
    </xf>
    <xf numFmtId="9" fontId="9" fillId="10" borderId="0" xfId="2" applyFont="1" applyFill="1" applyBorder="1" applyAlignment="1">
      <alignment horizontal="center" vertical="center"/>
    </xf>
    <xf numFmtId="9" fontId="10" fillId="10" borderId="13" xfId="2" applyFont="1" applyFill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9" fontId="0" fillId="0" borderId="0" xfId="2" applyFont="1"/>
    <xf numFmtId="0" fontId="2" fillId="8" borderId="12" xfId="0" applyFont="1" applyFill="1" applyBorder="1"/>
    <xf numFmtId="0" fontId="0" fillId="10" borderId="0" xfId="0" applyFill="1"/>
    <xf numFmtId="2" fontId="15" fillId="10" borderId="0" xfId="0" applyNumberFormat="1" applyFont="1" applyFill="1" applyAlignment="1">
      <alignment horizontal="center" vertical="center"/>
    </xf>
    <xf numFmtId="9" fontId="9" fillId="3" borderId="0" xfId="2" applyFont="1" applyFill="1" applyBorder="1" applyAlignment="1">
      <alignment horizontal="center" vertical="center"/>
    </xf>
    <xf numFmtId="2" fontId="6" fillId="11" borderId="14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5" borderId="12" xfId="0" applyFill="1" applyBorder="1"/>
    <xf numFmtId="0" fontId="0" fillId="3" borderId="0" xfId="0" applyFill="1"/>
    <xf numFmtId="9" fontId="4" fillId="3" borderId="0" xfId="2" applyFont="1" applyFill="1" applyBorder="1" applyAlignment="1">
      <alignment horizontal="center" vertical="center"/>
    </xf>
    <xf numFmtId="0" fontId="19" fillId="0" borderId="0" xfId="0" applyFont="1"/>
    <xf numFmtId="9" fontId="0" fillId="0" borderId="0" xfId="0" applyNumberFormat="1" applyAlignment="1">
      <alignment horizontal="center" vertical="center"/>
    </xf>
    <xf numFmtId="0" fontId="14" fillId="0" borderId="0" xfId="0" applyFont="1"/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4" fillId="6" borderId="0" xfId="0" applyFont="1" applyFill="1" applyAlignment="1">
      <alignment horizontal="center" vertical="center"/>
    </xf>
    <xf numFmtId="9" fontId="6" fillId="2" borderId="0" xfId="0" applyNumberFormat="1" applyFont="1" applyFill="1" applyAlignment="1">
      <alignment horizontal="center" vertical="center"/>
    </xf>
    <xf numFmtId="9" fontId="21" fillId="2" borderId="0" xfId="0" applyNumberFormat="1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14" fillId="0" borderId="0" xfId="2" applyFont="1"/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" fontId="6" fillId="8" borderId="0" xfId="0" applyNumberFormat="1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0" fontId="0" fillId="5" borderId="9" xfId="0" applyFill="1" applyBorder="1"/>
    <xf numFmtId="0" fontId="0" fillId="5" borderId="10" xfId="0" applyFill="1" applyBorder="1"/>
    <xf numFmtId="9" fontId="10" fillId="0" borderId="10" xfId="2" applyFont="1" applyBorder="1" applyAlignment="1">
      <alignment horizontal="center"/>
    </xf>
    <xf numFmtId="9" fontId="16" fillId="3" borderId="10" xfId="2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3" fillId="0" borderId="10" xfId="0" applyNumberFormat="1" applyFont="1" applyBorder="1" applyAlignment="1">
      <alignment horizontal="center" vertical="center"/>
    </xf>
    <xf numFmtId="9" fontId="10" fillId="0" borderId="11" xfId="2" applyFont="1" applyBorder="1" applyAlignment="1">
      <alignment horizontal="center"/>
    </xf>
    <xf numFmtId="0" fontId="0" fillId="5" borderId="0" xfId="0" applyFill="1"/>
    <xf numFmtId="166" fontId="0" fillId="0" borderId="0" xfId="0" applyNumberForma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0" fillId="0" borderId="0" xfId="0" applyNumberFormat="1"/>
    <xf numFmtId="0" fontId="24" fillId="0" borderId="0" xfId="0" applyFont="1" applyAlignment="1">
      <alignment horizontal="center" vertical="center"/>
    </xf>
    <xf numFmtId="2" fontId="0" fillId="0" borderId="0" xfId="0" applyNumberFormat="1"/>
    <xf numFmtId="0" fontId="25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top"/>
    </xf>
    <xf numFmtId="3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center" vertical="center"/>
    </xf>
    <xf numFmtId="0" fontId="0" fillId="0" borderId="1" xfId="0" applyBorder="1"/>
    <xf numFmtId="0" fontId="0" fillId="6" borderId="2" xfId="0" applyFill="1" applyBorder="1" applyAlignment="1">
      <alignment horizontal="center" vertical="center"/>
    </xf>
    <xf numFmtId="165" fontId="0" fillId="12" borderId="2" xfId="0" applyNumberFormat="1" applyFill="1" applyBorder="1" applyAlignment="1">
      <alignment horizontal="center" vertical="center"/>
    </xf>
    <xf numFmtId="2" fontId="0" fillId="12" borderId="2" xfId="0" applyNumberForma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3" fontId="4" fillId="13" borderId="2" xfId="0" applyNumberFormat="1" applyFont="1" applyFill="1" applyBorder="1" applyAlignment="1">
      <alignment horizontal="center" vertical="center"/>
    </xf>
    <xf numFmtId="4" fontId="4" fillId="13" borderId="2" xfId="0" applyNumberFormat="1" applyFont="1" applyFill="1" applyBorder="1" applyAlignment="1">
      <alignment horizontal="center" vertical="center"/>
    </xf>
    <xf numFmtId="3" fontId="27" fillId="6" borderId="2" xfId="0" applyNumberFormat="1" applyFont="1" applyFill="1" applyBorder="1" applyAlignment="1">
      <alignment horizontal="center" vertical="center"/>
    </xf>
    <xf numFmtId="1" fontId="6" fillId="8" borderId="2" xfId="0" applyNumberFormat="1" applyFont="1" applyFill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4" xfId="0" applyBorder="1"/>
    <xf numFmtId="0" fontId="19" fillId="6" borderId="0" xfId="0" applyFont="1" applyFill="1" applyAlignment="1">
      <alignment horizontal="center" vertical="center"/>
    </xf>
    <xf numFmtId="165" fontId="30" fillId="12" borderId="0" xfId="0" applyNumberFormat="1" applyFont="1" applyFill="1" applyAlignment="1">
      <alignment horizontal="center" vertical="center"/>
    </xf>
    <xf numFmtId="3" fontId="4" fillId="13" borderId="0" xfId="0" applyNumberFormat="1" applyFont="1" applyFill="1" applyAlignment="1">
      <alignment horizontal="center" vertical="center"/>
    </xf>
    <xf numFmtId="4" fontId="4" fillId="13" borderId="0" xfId="0" applyNumberFormat="1" applyFont="1" applyFill="1" applyAlignment="1">
      <alignment horizontal="center" vertical="center"/>
    </xf>
    <xf numFmtId="3" fontId="27" fillId="6" borderId="0" xfId="0" applyNumberFormat="1" applyFont="1" applyFill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165" fontId="30" fillId="12" borderId="2" xfId="0" applyNumberFormat="1" applyFont="1" applyFill="1" applyBorder="1" applyAlignment="1">
      <alignment horizontal="center" vertical="center"/>
    </xf>
    <xf numFmtId="0" fontId="0" fillId="0" borderId="14" xfId="0" applyBorder="1"/>
    <xf numFmtId="0" fontId="0" fillId="6" borderId="15" xfId="0" applyFill="1" applyBorder="1" applyAlignment="1">
      <alignment horizontal="center" vertical="center"/>
    </xf>
    <xf numFmtId="165" fontId="19" fillId="12" borderId="15" xfId="0" applyNumberFormat="1" applyFont="1" applyFill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3" fontId="4" fillId="13" borderId="15" xfId="0" applyNumberFormat="1" applyFont="1" applyFill="1" applyBorder="1" applyAlignment="1">
      <alignment horizontal="center" vertical="center"/>
    </xf>
    <xf numFmtId="4" fontId="4" fillId="13" borderId="15" xfId="0" applyNumberFormat="1" applyFont="1" applyFill="1" applyBorder="1" applyAlignment="1">
      <alignment horizontal="center" vertical="center"/>
    </xf>
    <xf numFmtId="3" fontId="27" fillId="6" borderId="15" xfId="0" applyNumberFormat="1" applyFont="1" applyFill="1" applyBorder="1" applyAlignment="1">
      <alignment horizontal="center" vertical="center"/>
    </xf>
    <xf numFmtId="1" fontId="6" fillId="8" borderId="15" xfId="0" applyNumberFormat="1" applyFont="1" applyFill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165" fontId="19" fillId="12" borderId="2" xfId="0" applyNumberFormat="1" applyFont="1" applyFill="1" applyBorder="1" applyAlignment="1">
      <alignment horizontal="center" vertical="center"/>
    </xf>
    <xf numFmtId="1" fontId="18" fillId="0" borderId="0" xfId="0" applyNumberFormat="1" applyFont="1"/>
    <xf numFmtId="0" fontId="25" fillId="6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65" fontId="19" fillId="12" borderId="0" xfId="0" applyNumberFormat="1" applyFont="1" applyFill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165" fontId="30" fillId="12" borderId="15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10" fontId="0" fillId="0" borderId="0" xfId="0" applyNumberFormat="1"/>
    <xf numFmtId="2" fontId="6" fillId="0" borderId="0" xfId="2" applyNumberFormat="1" applyFont="1" applyAlignment="1">
      <alignment horizontal="center" vertical="center"/>
    </xf>
    <xf numFmtId="14" fontId="0" fillId="0" borderId="0" xfId="0" applyNumberFormat="1"/>
    <xf numFmtId="0" fontId="25" fillId="6" borderId="15" xfId="0" applyFont="1" applyFill="1" applyBorder="1" applyAlignment="1">
      <alignment horizontal="center" vertical="center"/>
    </xf>
    <xf numFmtId="168" fontId="6" fillId="0" borderId="0" xfId="1" applyNumberFormat="1" applyFont="1" applyAlignment="1">
      <alignment horizontal="center" vertical="center"/>
    </xf>
    <xf numFmtId="0" fontId="0" fillId="0" borderId="17" xfId="0" applyBorder="1"/>
    <xf numFmtId="0" fontId="25" fillId="6" borderId="18" xfId="0" applyFont="1" applyFill="1" applyBorder="1" applyAlignment="1">
      <alignment horizontal="center" vertical="center"/>
    </xf>
    <xf numFmtId="165" fontId="30" fillId="12" borderId="18" xfId="0" applyNumberFormat="1" applyFont="1" applyFill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3" fontId="4" fillId="13" borderId="18" xfId="0" applyNumberFormat="1" applyFont="1" applyFill="1" applyBorder="1" applyAlignment="1">
      <alignment horizontal="center" vertical="center"/>
    </xf>
    <xf numFmtId="4" fontId="4" fillId="13" borderId="18" xfId="0" applyNumberFormat="1" applyFont="1" applyFill="1" applyBorder="1" applyAlignment="1">
      <alignment horizontal="center" vertical="center"/>
    </xf>
    <xf numFmtId="3" fontId="27" fillId="6" borderId="18" xfId="0" applyNumberFormat="1" applyFont="1" applyFill="1" applyBorder="1" applyAlignment="1">
      <alignment horizontal="center" vertical="center"/>
    </xf>
    <xf numFmtId="1" fontId="6" fillId="8" borderId="18" xfId="0" applyNumberFormat="1" applyFont="1" applyFill="1" applyBorder="1" applyAlignment="1">
      <alignment horizontal="center" vertical="center"/>
    </xf>
    <xf numFmtId="2" fontId="20" fillId="0" borderId="19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165" fontId="0" fillId="12" borderId="18" xfId="0" applyNumberFormat="1" applyFill="1" applyBorder="1" applyAlignment="1">
      <alignment horizontal="center" vertical="center"/>
    </xf>
    <xf numFmtId="166" fontId="0" fillId="12" borderId="18" xfId="0" applyNumberFormat="1" applyFill="1" applyBorder="1" applyAlignment="1">
      <alignment horizontal="center" vertical="center"/>
    </xf>
    <xf numFmtId="166" fontId="30" fillId="12" borderId="2" xfId="0" applyNumberFormat="1" applyFont="1" applyFill="1" applyBorder="1" applyAlignment="1">
      <alignment horizontal="center" vertical="center"/>
    </xf>
    <xf numFmtId="166" fontId="30" fillId="12" borderId="0" xfId="0" applyNumberFormat="1" applyFont="1" applyFill="1" applyAlignment="1">
      <alignment horizontal="center" vertical="center"/>
    </xf>
    <xf numFmtId="0" fontId="26" fillId="0" borderId="0" xfId="0" applyFont="1"/>
    <xf numFmtId="166" fontId="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6" fontId="19" fillId="12" borderId="15" xfId="0" applyNumberFormat="1" applyFont="1" applyFill="1" applyBorder="1" applyAlignment="1">
      <alignment horizontal="center" vertical="center"/>
    </xf>
    <xf numFmtId="166" fontId="19" fillId="12" borderId="2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66" fontId="30" fillId="12" borderId="15" xfId="0" applyNumberFormat="1" applyFont="1" applyFill="1" applyBorder="1" applyAlignment="1">
      <alignment horizontal="center" vertical="center"/>
    </xf>
    <xf numFmtId="166" fontId="19" fillId="12" borderId="0" xfId="0" applyNumberFormat="1" applyFont="1" applyFill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5" fillId="0" borderId="0" xfId="0" applyFont="1"/>
    <xf numFmtId="3" fontId="36" fillId="0" borderId="0" xfId="0" applyNumberFormat="1" applyFont="1" applyAlignment="1">
      <alignment horizontal="center" vertical="center"/>
    </xf>
    <xf numFmtId="0" fontId="37" fillId="0" borderId="0" xfId="0" applyFont="1"/>
    <xf numFmtId="0" fontId="0" fillId="14" borderId="0" xfId="0" applyFill="1"/>
    <xf numFmtId="3" fontId="20" fillId="0" borderId="0" xfId="0" applyNumberFormat="1" applyFont="1"/>
    <xf numFmtId="167" fontId="20" fillId="0" borderId="0" xfId="0" applyNumberFormat="1" applyFont="1" applyAlignment="1">
      <alignment horizontal="center" vertical="center"/>
    </xf>
    <xf numFmtId="167" fontId="33" fillId="0" borderId="0" xfId="0" applyNumberFormat="1" applyFont="1" applyAlignment="1">
      <alignment horizontal="center" vertical="center"/>
    </xf>
    <xf numFmtId="167" fontId="38" fillId="0" borderId="0" xfId="0" applyNumberFormat="1" applyFont="1" applyAlignment="1">
      <alignment horizontal="center" vertical="center"/>
    </xf>
    <xf numFmtId="3" fontId="20" fillId="14" borderId="0" xfId="0" applyNumberFormat="1" applyFont="1" applyFill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0" fillId="8" borderId="1" xfId="0" applyFill="1" applyBorder="1"/>
    <xf numFmtId="165" fontId="10" fillId="12" borderId="2" xfId="0" applyNumberFormat="1" applyFont="1" applyFill="1" applyBorder="1" applyAlignment="1">
      <alignment horizontal="center" vertical="center"/>
    </xf>
    <xf numFmtId="166" fontId="10" fillId="12" borderId="2" xfId="0" applyNumberFormat="1" applyFont="1" applyFill="1" applyBorder="1" applyAlignment="1">
      <alignment horizontal="center" vertical="center"/>
    </xf>
    <xf numFmtId="0" fontId="0" fillId="8" borderId="4" xfId="0" applyFill="1" applyBorder="1"/>
    <xf numFmtId="0" fontId="0" fillId="6" borderId="0" xfId="0" applyFill="1" applyAlignment="1">
      <alignment horizontal="center" vertical="center"/>
    </xf>
    <xf numFmtId="165" fontId="10" fillId="12" borderId="0" xfId="0" applyNumberFormat="1" applyFont="1" applyFill="1" applyAlignment="1">
      <alignment horizontal="center" vertical="center"/>
    </xf>
    <xf numFmtId="166" fontId="10" fillId="1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8" borderId="14" xfId="0" applyFill="1" applyBorder="1"/>
    <xf numFmtId="165" fontId="10" fillId="12" borderId="15" xfId="0" applyNumberFormat="1" applyFont="1" applyFill="1" applyBorder="1" applyAlignment="1">
      <alignment horizontal="center" vertical="center"/>
    </xf>
    <xf numFmtId="166" fontId="10" fillId="12" borderId="15" xfId="0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0" xfId="0" applyFont="1" applyFill="1"/>
    <xf numFmtId="3" fontId="39" fillId="0" borderId="0" xfId="0" applyNumberFormat="1" applyFont="1" applyAlignment="1">
      <alignment horizontal="center" vertical="center"/>
    </xf>
    <xf numFmtId="2" fontId="0" fillId="6" borderId="15" xfId="0" applyNumberFormat="1" applyFill="1" applyBorder="1" applyAlignment="1">
      <alignment horizontal="center" vertical="center"/>
    </xf>
    <xf numFmtId="4" fontId="0" fillId="0" borderId="0" xfId="0" applyNumberFormat="1"/>
    <xf numFmtId="166" fontId="0" fillId="0" borderId="0" xfId="0" applyNumberFormat="1"/>
    <xf numFmtId="2" fontId="41" fillId="0" borderId="0" xfId="0" applyNumberFormat="1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2" fontId="42" fillId="0" borderId="0" xfId="0" applyNumberFormat="1" applyFont="1" applyAlignment="1">
      <alignment horizontal="center" vertical="center"/>
    </xf>
    <xf numFmtId="2" fontId="42" fillId="15" borderId="0" xfId="0" applyNumberFormat="1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" fillId="5" borderId="0" xfId="0" applyFont="1" applyFill="1"/>
    <xf numFmtId="0" fontId="18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2" fontId="42" fillId="5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6" fillId="0" borderId="0" xfId="0" applyFont="1"/>
    <xf numFmtId="1" fontId="0" fillId="0" borderId="0" xfId="0" applyNumberFormat="1"/>
    <xf numFmtId="0" fontId="47" fillId="0" borderId="0" xfId="0" applyFont="1"/>
    <xf numFmtId="0" fontId="48" fillId="0" borderId="0" xfId="0" applyFont="1"/>
    <xf numFmtId="0" fontId="20" fillId="0" borderId="0" xfId="0" applyFont="1"/>
    <xf numFmtId="3" fontId="49" fillId="0" borderId="0" xfId="0" applyNumberFormat="1" applyFont="1" applyAlignment="1">
      <alignment horizontal="center" vertical="center"/>
    </xf>
    <xf numFmtId="1" fontId="50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0" fillId="16" borderId="0" xfId="0" applyFill="1" applyAlignment="1">
      <alignment horizontal="center" vertical="center"/>
    </xf>
    <xf numFmtId="3" fontId="49" fillId="16" borderId="0" xfId="0" applyNumberFormat="1" applyFont="1" applyFill="1" applyAlignment="1">
      <alignment horizontal="center" vertical="center"/>
    </xf>
    <xf numFmtId="3" fontId="0" fillId="16" borderId="0" xfId="0" applyNumberFormat="1" applyFill="1" applyAlignment="1">
      <alignment horizontal="center" vertical="center"/>
    </xf>
    <xf numFmtId="1" fontId="50" fillId="16" borderId="0" xfId="0" applyNumberFormat="1" applyFont="1" applyFill="1" applyAlignment="1">
      <alignment horizontal="center" vertical="center"/>
    </xf>
    <xf numFmtId="0" fontId="0" fillId="16" borderId="0" xfId="0" applyFill="1"/>
    <xf numFmtId="0" fontId="52" fillId="0" borderId="0" xfId="0" applyFont="1"/>
    <xf numFmtId="2" fontId="53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35" fillId="0" borderId="0" xfId="0" applyNumberFormat="1" applyFont="1" applyAlignment="1">
      <alignment horizontal="center" vertical="center"/>
    </xf>
    <xf numFmtId="9" fontId="6" fillId="0" borderId="0" xfId="0" applyNumberFormat="1" applyFont="1"/>
    <xf numFmtId="0" fontId="54" fillId="0" borderId="0" xfId="0" applyFont="1"/>
    <xf numFmtId="0" fontId="55" fillId="0" borderId="0" xfId="0" applyFont="1"/>
    <xf numFmtId="3" fontId="56" fillId="0" borderId="0" xfId="0" applyNumberFormat="1" applyFont="1" applyAlignment="1">
      <alignment horizontal="center" vertical="center"/>
    </xf>
    <xf numFmtId="3" fontId="57" fillId="0" borderId="0" xfId="0" applyNumberFormat="1" applyFont="1" applyAlignment="1">
      <alignment horizontal="center" vertical="center"/>
    </xf>
    <xf numFmtId="0" fontId="58" fillId="7" borderId="0" xfId="0" applyFont="1" applyFill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" fontId="6" fillId="17" borderId="0" xfId="0" applyNumberFormat="1" applyFont="1" applyFill="1" applyAlignment="1">
      <alignment horizontal="center" vertical="center"/>
    </xf>
    <xf numFmtId="1" fontId="6" fillId="18" borderId="0" xfId="0" applyNumberFormat="1" applyFont="1" applyFill="1" applyAlignment="1">
      <alignment horizontal="center" vertical="center"/>
    </xf>
    <xf numFmtId="1" fontId="6" fillId="19" borderId="0" xfId="0" applyNumberFormat="1" applyFont="1" applyFill="1" applyAlignment="1">
      <alignment horizontal="center" vertical="center"/>
    </xf>
    <xf numFmtId="3" fontId="60" fillId="0" borderId="0" xfId="1" applyNumberFormat="1" applyFont="1" applyAlignment="1">
      <alignment horizontal="center" vertical="center"/>
    </xf>
    <xf numFmtId="165" fontId="10" fillId="12" borderId="18" xfId="0" applyNumberFormat="1" applyFont="1" applyFill="1" applyBorder="1" applyAlignment="1">
      <alignment horizontal="center" vertical="center"/>
    </xf>
    <xf numFmtId="166" fontId="10" fillId="12" borderId="18" xfId="0" applyNumberFormat="1" applyFont="1" applyFill="1" applyBorder="1" applyAlignment="1">
      <alignment horizontal="center" vertical="center"/>
    </xf>
    <xf numFmtId="2" fontId="0" fillId="6" borderId="18" xfId="0" applyNumberFormat="1" applyFill="1" applyBorder="1" applyAlignment="1">
      <alignment horizontal="center" vertical="center"/>
    </xf>
    <xf numFmtId="1" fontId="61" fillId="7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6" fillId="0" borderId="3" xfId="0" applyNumberFormat="1" applyFont="1" applyBorder="1"/>
    <xf numFmtId="3" fontId="4" fillId="15" borderId="18" xfId="0" applyNumberFormat="1" applyFont="1" applyFill="1" applyBorder="1" applyAlignment="1">
      <alignment horizontal="center" vertical="center"/>
    </xf>
    <xf numFmtId="0" fontId="0" fillId="15" borderId="4" xfId="0" applyFill="1" applyBorder="1"/>
    <xf numFmtId="0" fontId="6" fillId="15" borderId="5" xfId="0" applyFont="1" applyFill="1" applyBorder="1"/>
    <xf numFmtId="169" fontId="20" fillId="0" borderId="0" xfId="1" applyNumberFormat="1" applyFont="1"/>
    <xf numFmtId="2" fontId="0" fillId="0" borderId="0" xfId="0" applyNumberFormat="1" applyAlignment="1">
      <alignment horizontal="right" vertical="center"/>
    </xf>
    <xf numFmtId="0" fontId="62" fillId="0" borderId="0" xfId="0" applyFont="1" applyAlignment="1">
      <alignment horizontal="center" vertical="center"/>
    </xf>
    <xf numFmtId="0" fontId="6" fillId="0" borderId="5" xfId="0" applyFont="1" applyBorder="1"/>
    <xf numFmtId="0" fontId="6" fillId="0" borderId="16" xfId="0" applyFont="1" applyBorder="1"/>
    <xf numFmtId="3" fontId="38" fillId="0" borderId="0" xfId="0" applyNumberFormat="1" applyFont="1" applyAlignment="1">
      <alignment horizontal="center" vertical="center"/>
    </xf>
    <xf numFmtId="169" fontId="38" fillId="0" borderId="0" xfId="1" applyNumberFormat="1" applyFont="1"/>
    <xf numFmtId="0" fontId="7" fillId="0" borderId="0" xfId="0" applyFont="1" applyAlignment="1">
      <alignment horizontal="center" vertical="center"/>
    </xf>
    <xf numFmtId="3" fontId="52" fillId="0" borderId="0" xfId="0" applyNumberFormat="1" applyFont="1"/>
    <xf numFmtId="169" fontId="63" fillId="0" borderId="0" xfId="0" applyNumberFormat="1" applyFont="1"/>
    <xf numFmtId="0" fontId="64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5" fillId="0" borderId="0" xfId="0" applyFont="1"/>
    <xf numFmtId="0" fontId="55" fillId="15" borderId="0" xfId="0" applyFont="1" applyFill="1"/>
    <xf numFmtId="0" fontId="55" fillId="15" borderId="0" xfId="0" applyFont="1" applyFill="1" applyAlignment="1">
      <alignment vertical="center" wrapText="1"/>
    </xf>
    <xf numFmtId="0" fontId="7" fillId="15" borderId="0" xfId="0" applyFont="1" applyFill="1"/>
    <xf numFmtId="0" fontId="0" fillId="15" borderId="0" xfId="0" applyFill="1"/>
    <xf numFmtId="0" fontId="64" fillId="15" borderId="0" xfId="0" applyFont="1" applyFill="1"/>
    <xf numFmtId="0" fontId="17" fillId="15" borderId="0" xfId="0" applyFont="1" applyFill="1"/>
    <xf numFmtId="0" fontId="5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0" fontId="0" fillId="0" borderId="0" xfId="2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64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3" fontId="12" fillId="0" borderId="22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12" fillId="0" borderId="0" xfId="0" applyNumberFormat="1" applyFont="1" applyBorder="1" applyAlignment="1">
      <alignment horizontal="center" vertical="center"/>
    </xf>
    <xf numFmtId="3" fontId="12" fillId="0" borderId="24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167" fontId="0" fillId="0" borderId="24" xfId="0" applyNumberFormat="1" applyBorder="1"/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67" fontId="0" fillId="0" borderId="27" xfId="0" applyNumberFormat="1" applyBorder="1"/>
    <xf numFmtId="0" fontId="8" fillId="2" borderId="21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8" fillId="2" borderId="21" xfId="0" applyFont="1" applyFill="1" applyBorder="1" applyAlignment="1">
      <alignment horizontal="center" vertical="center"/>
    </xf>
    <xf numFmtId="2" fontId="24" fillId="0" borderId="2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23" xfId="0" applyBorder="1"/>
    <xf numFmtId="2" fontId="24" fillId="0" borderId="0" xfId="0" applyNumberFormat="1" applyFont="1" applyBorder="1" applyAlignment="1">
      <alignment horizontal="center" vertical="center"/>
    </xf>
    <xf numFmtId="0" fontId="0" fillId="0" borderId="26" xfId="0" applyBorder="1"/>
  </cellXfs>
  <cellStyles count="3">
    <cellStyle name="Dziesiętny" xfId="1" builtinId="3"/>
    <cellStyle name="Normalny" xfId="0" builtinId="0"/>
    <cellStyle name="Procentowy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161925</xdr:colOff>
      <xdr:row>120</xdr:row>
      <xdr:rowOff>76200</xdr:rowOff>
    </xdr:from>
    <xdr:to>
      <xdr:col>26</xdr:col>
      <xdr:colOff>264308</xdr:colOff>
      <xdr:row>143</xdr:row>
      <xdr:rowOff>85726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3FFB509-242A-4CD0-8AA6-6D232245A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23202900"/>
          <a:ext cx="6569858" cy="439102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180975</xdr:colOff>
      <xdr:row>108</xdr:row>
      <xdr:rowOff>114300</xdr:rowOff>
    </xdr:from>
    <xdr:to>
      <xdr:col>28</xdr:col>
      <xdr:colOff>527235</xdr:colOff>
      <xdr:row>119</xdr:row>
      <xdr:rowOff>187138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F0225B9-9DD2-4B93-B36A-5C87D872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5050" y="20926425"/>
          <a:ext cx="5585010" cy="2168338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106756</xdr:colOff>
      <xdr:row>120</xdr:row>
      <xdr:rowOff>76200</xdr:rowOff>
    </xdr:from>
    <xdr:to>
      <xdr:col>35</xdr:col>
      <xdr:colOff>493060</xdr:colOff>
      <xdr:row>147</xdr:row>
      <xdr:rowOff>103094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B44F47A8-5632-46E2-B220-ED8C0F54E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13781" y="23202900"/>
          <a:ext cx="5586954" cy="5170394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392206</xdr:colOff>
      <xdr:row>21</xdr:row>
      <xdr:rowOff>122572</xdr:rowOff>
    </xdr:from>
    <xdr:to>
      <xdr:col>44</xdr:col>
      <xdr:colOff>414057</xdr:colOff>
      <xdr:row>65</xdr:row>
      <xdr:rowOff>126750</xdr:rowOff>
    </xdr:to>
    <xdr:pic>
      <xdr:nvPicPr>
        <xdr:cNvPr id="5" name="Obraz 4" descr="r/TankPorn - Cost of Producing Tanks in World War 2 [563x775]">
          <a:extLst>
            <a:ext uri="{FF2B5EF4-FFF2-40B4-BE49-F238E27FC236}">
              <a16:creationId xmlns:a16="http://schemas.microsoft.com/office/drawing/2014/main" id="{5426AD02-100D-471F-92F2-D2522BE89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80681" y="4132597"/>
          <a:ext cx="6727451" cy="8414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100853</xdr:colOff>
      <xdr:row>325</xdr:row>
      <xdr:rowOff>190500</xdr:rowOff>
    </xdr:from>
    <xdr:to>
      <xdr:col>15</xdr:col>
      <xdr:colOff>795618</xdr:colOff>
      <xdr:row>326</xdr:row>
      <xdr:rowOff>11206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610DE295-EF28-4963-9DF9-C49D3DEA1BC5}"/>
            </a:ext>
          </a:extLst>
        </xdr:cNvPr>
        <xdr:cNvCxnSpPr/>
      </xdr:nvCxnSpPr>
      <xdr:spPr>
        <a:xfrm flipH="1" flipV="1">
          <a:off x="7778003" y="62512575"/>
          <a:ext cx="3161740" cy="2073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414617</xdr:colOff>
      <xdr:row>126</xdr:row>
      <xdr:rowOff>134631</xdr:rowOff>
    </xdr:from>
    <xdr:to>
      <xdr:col>40</xdr:col>
      <xdr:colOff>268380</xdr:colOff>
      <xdr:row>189</xdr:row>
      <xdr:rowOff>9781</xdr:rowOff>
    </xdr:to>
    <xdr:pic>
      <xdr:nvPicPr>
        <xdr:cNvPr id="7" name="Obraz 6" descr="r/TankPorn - Cost of Producing Tanks in World War 2 [563x775]">
          <a:extLst>
            <a:ext uri="{FF2B5EF4-FFF2-40B4-BE49-F238E27FC236}">
              <a16:creationId xmlns:a16="http://schemas.microsoft.com/office/drawing/2014/main" id="{5CC4E794-7830-4E40-B179-A5056FECB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9092" y="24413856"/>
          <a:ext cx="9454963" cy="1187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302559</xdr:colOff>
      <xdr:row>169</xdr:row>
      <xdr:rowOff>152849</xdr:rowOff>
    </xdr:from>
    <xdr:to>
      <xdr:col>25</xdr:col>
      <xdr:colOff>236444</xdr:colOff>
      <xdr:row>189</xdr:row>
      <xdr:rowOff>25773</xdr:rowOff>
    </xdr:to>
    <xdr:pic>
      <xdr:nvPicPr>
        <xdr:cNvPr id="8" name="Obraz 7" descr="Cost of German Panzers versus Soviet Tanks : r/Warthunder">
          <a:extLst>
            <a:ext uri="{FF2B5EF4-FFF2-40B4-BE49-F238E27FC236}">
              <a16:creationId xmlns:a16="http://schemas.microsoft.com/office/drawing/2014/main" id="{62CD7D32-8A76-414A-A708-282C8662D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6684" y="32623574"/>
          <a:ext cx="6544235" cy="368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246529</xdr:colOff>
      <xdr:row>189</xdr:row>
      <xdr:rowOff>123265</xdr:rowOff>
    </xdr:from>
    <xdr:to>
      <xdr:col>25</xdr:col>
      <xdr:colOff>516295</xdr:colOff>
      <xdr:row>204</xdr:row>
      <xdr:rowOff>151479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5FAF6BCE-B689-4146-BFA3-2FA6D9B74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0654" y="36403990"/>
          <a:ext cx="6880116" cy="2885714"/>
        </a:xfrm>
        <a:prstGeom prst="rect">
          <a:avLst/>
        </a:prstGeom>
      </xdr:spPr>
    </xdr:pic>
    <xdr:clientData/>
  </xdr:twoCellAnchor>
  <xdr:twoCellAnchor editAs="oneCell">
    <xdr:from>
      <xdr:col>25</xdr:col>
      <xdr:colOff>616324</xdr:colOff>
      <xdr:row>189</xdr:row>
      <xdr:rowOff>112059</xdr:rowOff>
    </xdr:from>
    <xdr:to>
      <xdr:col>29</xdr:col>
      <xdr:colOff>182095</xdr:colOff>
      <xdr:row>204</xdr:row>
      <xdr:rowOff>179293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9C36D91E-DBE4-47AB-B9F0-EA52F8C9C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70799" y="36392784"/>
          <a:ext cx="2289921" cy="2924734"/>
        </a:xfrm>
        <a:prstGeom prst="rect">
          <a:avLst/>
        </a:prstGeom>
      </xdr:spPr>
    </xdr:pic>
    <xdr:clientData/>
  </xdr:twoCellAnchor>
  <xdr:twoCellAnchor editAs="oneCell">
    <xdr:from>
      <xdr:col>16</xdr:col>
      <xdr:colOff>112060</xdr:colOff>
      <xdr:row>205</xdr:row>
      <xdr:rowOff>2</xdr:rowOff>
    </xdr:from>
    <xdr:to>
      <xdr:col>25</xdr:col>
      <xdr:colOff>425824</xdr:colOff>
      <xdr:row>218</xdr:row>
      <xdr:rowOff>6578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3DF401EC-A2D7-4822-BCD2-1EC5FE024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75335" y="39328727"/>
          <a:ext cx="6104964" cy="2483076"/>
        </a:xfrm>
        <a:prstGeom prst="rect">
          <a:avLst/>
        </a:prstGeom>
      </xdr:spPr>
    </xdr:pic>
    <xdr:clientData/>
  </xdr:twoCellAnchor>
  <xdr:twoCellAnchor editAs="oneCell">
    <xdr:from>
      <xdr:col>17</xdr:col>
      <xdr:colOff>11206</xdr:colOff>
      <xdr:row>360</xdr:row>
      <xdr:rowOff>112059</xdr:rowOff>
    </xdr:from>
    <xdr:to>
      <xdr:col>27</xdr:col>
      <xdr:colOff>256527</xdr:colOff>
      <xdr:row>373</xdr:row>
      <xdr:rowOff>83483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E0E60355-02FF-4757-BF86-5BCB95203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84081" y="69263559"/>
          <a:ext cx="6779471" cy="2447924"/>
        </a:xfrm>
        <a:prstGeom prst="rect">
          <a:avLst/>
        </a:prstGeom>
      </xdr:spPr>
    </xdr:pic>
    <xdr:clientData/>
  </xdr:twoCellAnchor>
  <xdr:twoCellAnchor editAs="oneCell">
    <xdr:from>
      <xdr:col>17</xdr:col>
      <xdr:colOff>20732</xdr:colOff>
      <xdr:row>373</xdr:row>
      <xdr:rowOff>162484</xdr:rowOff>
    </xdr:from>
    <xdr:to>
      <xdr:col>23</xdr:col>
      <xdr:colOff>548829</xdr:colOff>
      <xdr:row>385</xdr:row>
      <xdr:rowOff>9524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C29E7F34-8D9B-411F-B6CD-FF1727BFB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93607" y="71790484"/>
          <a:ext cx="4414297" cy="2133040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571503</xdr:colOff>
      <xdr:row>385</xdr:row>
      <xdr:rowOff>20169</xdr:rowOff>
    </xdr:from>
    <xdr:to>
      <xdr:col>23</xdr:col>
      <xdr:colOff>253256</xdr:colOff>
      <xdr:row>399</xdr:row>
      <xdr:rowOff>52554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7497B6D2-111E-40A0-9E1C-62CA993E4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34778" y="73991319"/>
          <a:ext cx="4177553" cy="2699385"/>
        </a:xfrm>
        <a:prstGeom prst="rect">
          <a:avLst/>
        </a:prstGeom>
      </xdr:spPr>
    </xdr:pic>
    <xdr:clientData/>
  </xdr:twoCellAnchor>
  <xdr:twoCellAnchor>
    <xdr:from>
      <xdr:col>25</xdr:col>
      <xdr:colOff>514350</xdr:colOff>
      <xdr:row>27</xdr:row>
      <xdr:rowOff>47625</xdr:rowOff>
    </xdr:from>
    <xdr:to>
      <xdr:col>32</xdr:col>
      <xdr:colOff>133350</xdr:colOff>
      <xdr:row>31</xdr:row>
      <xdr:rowOff>38100</xdr:rowOff>
    </xdr:to>
    <xdr:sp macro="" textlink="">
      <xdr:nvSpPr>
        <xdr:cNvPr id="15" name="Znak mnożenia 14">
          <a:extLst>
            <a:ext uri="{FF2B5EF4-FFF2-40B4-BE49-F238E27FC236}">
              <a16:creationId xmlns:a16="http://schemas.microsoft.com/office/drawing/2014/main" id="{2B777E57-F366-C19D-480B-D8F632CC47C1}"/>
            </a:ext>
          </a:extLst>
        </xdr:cNvPr>
        <xdr:cNvSpPr/>
      </xdr:nvSpPr>
      <xdr:spPr>
        <a:xfrm>
          <a:off x="17268825" y="5210175"/>
          <a:ext cx="4343400" cy="762000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5E6B-9F08-4B17-B75A-7075EE70DE69}">
  <dimension ref="A1:AN450"/>
  <sheetViews>
    <sheetView tabSelected="1" topLeftCell="A13" workbookViewId="0">
      <selection activeCell="X39" sqref="X39"/>
    </sheetView>
  </sheetViews>
  <sheetFormatPr defaultRowHeight="15" x14ac:dyDescent="0.25"/>
  <cols>
    <col min="1" max="1" width="22.85546875" customWidth="1"/>
    <col min="3" max="3" width="8.28515625" customWidth="1"/>
    <col min="4" max="4" width="9.42578125" bestFit="1" customWidth="1"/>
    <col min="5" max="5" width="10.5703125" bestFit="1" customWidth="1"/>
    <col min="15" max="15" width="9.5703125" bestFit="1" customWidth="1"/>
    <col min="16" max="16" width="12.28515625" customWidth="1"/>
    <col min="18" max="18" width="10.28515625" bestFit="1" customWidth="1"/>
    <col min="20" max="21" width="10.28515625" bestFit="1" customWidth="1"/>
    <col min="24" max="24" width="10.28515625" bestFit="1" customWidth="1"/>
    <col min="26" max="27" width="10.140625" bestFit="1" customWidth="1"/>
    <col min="28" max="29" width="10.28515625" bestFit="1" customWidth="1"/>
    <col min="32" max="32" width="11.7109375" customWidth="1"/>
  </cols>
  <sheetData>
    <row r="1" spans="1:40" x14ac:dyDescent="0.25">
      <c r="E1" s="1" t="s">
        <v>0</v>
      </c>
      <c r="F1" s="2"/>
      <c r="G1" s="2"/>
      <c r="H1" s="2"/>
      <c r="I1" s="2"/>
      <c r="J1" s="2"/>
      <c r="K1" s="2"/>
      <c r="L1" s="3"/>
      <c r="AD1" s="4">
        <f>SUM(AD3:AD20)</f>
        <v>1.1200000000000001</v>
      </c>
      <c r="AF1" s="4">
        <f>SUM(AF3:AF20)</f>
        <v>1.0000000000000002</v>
      </c>
      <c r="AJ1" s="4">
        <f>SUM(AJ3:AJ20)</f>
        <v>1.0000000000000002</v>
      </c>
    </row>
    <row r="2" spans="1:40" x14ac:dyDescent="0.25">
      <c r="A2" s="5"/>
      <c r="E2" s="6">
        <v>10</v>
      </c>
      <c r="F2" s="7" t="s">
        <v>1</v>
      </c>
      <c r="L2" s="8"/>
      <c r="Y2" s="9" t="s">
        <v>2</v>
      </c>
      <c r="Z2" s="10"/>
      <c r="AA2" s="10"/>
      <c r="AB2" s="10"/>
      <c r="AC2" s="10"/>
      <c r="AD2" s="11" t="s">
        <v>3</v>
      </c>
      <c r="AE2" s="10"/>
      <c r="AF2" s="12" t="s">
        <v>4</v>
      </c>
      <c r="AJ2" s="12" t="s">
        <v>4</v>
      </c>
    </row>
    <row r="3" spans="1:40" x14ac:dyDescent="0.25">
      <c r="E3" s="13">
        <v>0.17</v>
      </c>
      <c r="F3" s="14" t="s">
        <v>5</v>
      </c>
      <c r="L3" s="8"/>
      <c r="X3" s="15"/>
      <c r="Y3" s="16" t="s">
        <v>6</v>
      </c>
      <c r="Z3" s="17"/>
      <c r="AA3" s="17"/>
      <c r="AB3" s="17"/>
      <c r="AC3" s="17"/>
      <c r="AD3" s="18">
        <v>0.28999999999999998</v>
      </c>
      <c r="AE3" s="17"/>
      <c r="AF3" s="19">
        <v>0.06</v>
      </c>
      <c r="AJ3" s="19">
        <v>0.06</v>
      </c>
    </row>
    <row r="4" spans="1:40" x14ac:dyDescent="0.25">
      <c r="A4" s="5" t="s">
        <v>7</v>
      </c>
      <c r="E4" s="20">
        <v>1</v>
      </c>
      <c r="F4" s="14" t="s">
        <v>8</v>
      </c>
      <c r="L4" s="8"/>
      <c r="S4" s="21" t="s">
        <v>9</v>
      </c>
      <c r="T4" s="21"/>
      <c r="U4" s="21"/>
      <c r="V4" s="21"/>
      <c r="W4" s="21"/>
      <c r="X4" s="22"/>
      <c r="Y4" t="s">
        <v>10</v>
      </c>
      <c r="Z4" s="23" t="s">
        <v>11</v>
      </c>
      <c r="AA4" s="24" t="s">
        <v>12</v>
      </c>
      <c r="AB4" s="24"/>
      <c r="AC4" s="24"/>
      <c r="AD4" s="25">
        <v>0.02</v>
      </c>
      <c r="AE4" s="26"/>
      <c r="AF4" s="27"/>
      <c r="AH4" s="22">
        <v>10</v>
      </c>
      <c r="AI4" s="28">
        <v>10</v>
      </c>
      <c r="AJ4" s="27"/>
    </row>
    <row r="5" spans="1:40" x14ac:dyDescent="0.25">
      <c r="A5" s="7" t="s">
        <v>2</v>
      </c>
      <c r="E5" s="29">
        <f>SUM(E2*E4*E3)</f>
        <v>1.7000000000000002</v>
      </c>
      <c r="F5" t="s">
        <v>13</v>
      </c>
      <c r="L5" s="8"/>
      <c r="S5" s="30" t="s">
        <v>14</v>
      </c>
      <c r="T5" s="30" t="s">
        <v>15</v>
      </c>
      <c r="U5" s="30" t="s">
        <v>16</v>
      </c>
      <c r="V5" s="30" t="s">
        <v>17</v>
      </c>
      <c r="W5" s="31" t="s">
        <v>18</v>
      </c>
      <c r="X5" s="15"/>
      <c r="Z5" s="32" t="s">
        <v>19</v>
      </c>
      <c r="AA5" s="33" t="s">
        <v>20</v>
      </c>
      <c r="AB5" s="33"/>
      <c r="AC5" s="33"/>
      <c r="AD5" s="25">
        <v>0.03</v>
      </c>
      <c r="AE5" s="26"/>
      <c r="AF5" s="27">
        <v>0.03</v>
      </c>
      <c r="AH5" t="s">
        <v>21</v>
      </c>
      <c r="AJ5" s="27">
        <v>0.03</v>
      </c>
    </row>
    <row r="6" spans="1:40" x14ac:dyDescent="0.25">
      <c r="A6" s="34" t="s">
        <v>22</v>
      </c>
      <c r="E6" s="35">
        <v>0.43</v>
      </c>
      <c r="F6" t="s">
        <v>23</v>
      </c>
      <c r="L6" s="8"/>
      <c r="S6" s="30"/>
      <c r="T6" s="30"/>
      <c r="U6" s="22" t="s">
        <v>24</v>
      </c>
      <c r="V6" s="36">
        <v>0.13</v>
      </c>
      <c r="W6" s="31">
        <v>0.13</v>
      </c>
      <c r="X6" s="15"/>
      <c r="Y6" s="37">
        <v>1930</v>
      </c>
      <c r="Z6" s="38" t="s">
        <v>25</v>
      </c>
      <c r="AA6" s="39" t="s">
        <v>26</v>
      </c>
      <c r="AB6" s="39"/>
      <c r="AC6" s="39"/>
      <c r="AD6" s="40">
        <v>0.04</v>
      </c>
      <c r="AE6" s="41"/>
      <c r="AF6" s="42">
        <v>0.03</v>
      </c>
      <c r="AG6" s="43"/>
      <c r="AH6" s="44"/>
      <c r="AI6" s="45"/>
      <c r="AJ6" s="42">
        <v>0.03</v>
      </c>
      <c r="AK6" s="46"/>
      <c r="AL6" s="34" t="s">
        <v>27</v>
      </c>
    </row>
    <row r="7" spans="1:40" x14ac:dyDescent="0.25">
      <c r="A7" t="s">
        <v>28</v>
      </c>
      <c r="E7" s="47">
        <f>SUM(E5*E6)</f>
        <v>0.73100000000000009</v>
      </c>
      <c r="F7" t="s">
        <v>29</v>
      </c>
      <c r="L7" s="8"/>
      <c r="S7" s="48">
        <v>0.03</v>
      </c>
      <c r="T7" s="49">
        <v>0.1</v>
      </c>
      <c r="U7" s="15"/>
      <c r="V7" s="36"/>
      <c r="W7" s="50">
        <f t="shared" ref="W7:W20" si="0">SUM(W6+SUM(S7:V7))</f>
        <v>0.26</v>
      </c>
      <c r="X7" s="51"/>
      <c r="Y7" s="52">
        <v>1936</v>
      </c>
      <c r="Z7" s="53"/>
      <c r="AA7" s="53" t="s">
        <v>30</v>
      </c>
      <c r="AB7" s="53"/>
      <c r="AC7" s="53"/>
      <c r="AD7" s="54">
        <v>0.04</v>
      </c>
      <c r="AE7" s="15">
        <f>SUM(AD3:AD7)</f>
        <v>0.41999999999999993</v>
      </c>
      <c r="AF7" s="55">
        <v>0.04</v>
      </c>
      <c r="AG7" s="56">
        <f>SUM(AF3:AF7)</f>
        <v>0.16</v>
      </c>
      <c r="AH7" s="51">
        <f>($AH$4*AG7)+(($AH$4*AG7)*W7)</f>
        <v>2.016</v>
      </c>
      <c r="AI7" s="57">
        <f>($AI$4*AK7)+(($AI$4*AK7)*AL7)</f>
        <v>2.016</v>
      </c>
      <c r="AJ7" s="55">
        <v>0.04</v>
      </c>
      <c r="AK7" s="58">
        <f>SUM(AJ3:AJ7)</f>
        <v>0.16</v>
      </c>
      <c r="AL7" s="31">
        <f>SUM(W7+AM7)</f>
        <v>0.26</v>
      </c>
      <c r="AN7" s="34" t="s">
        <v>31</v>
      </c>
    </row>
    <row r="8" spans="1:40" x14ac:dyDescent="0.25">
      <c r="A8" t="s">
        <v>32</v>
      </c>
      <c r="E8" s="59">
        <f>ROUNDDOWN(E5+E7,2)</f>
        <v>2.4300000000000002</v>
      </c>
      <c r="F8" s="60" t="s">
        <v>33</v>
      </c>
      <c r="G8" t="s">
        <v>34</v>
      </c>
      <c r="L8" s="8"/>
      <c r="S8" s="61">
        <v>0.04</v>
      </c>
      <c r="T8" s="62"/>
      <c r="U8" s="63"/>
      <c r="V8" s="36"/>
      <c r="W8" s="50">
        <f t="shared" si="0"/>
        <v>0.3</v>
      </c>
      <c r="X8" s="51"/>
      <c r="Y8" s="52">
        <v>1937</v>
      </c>
      <c r="Z8" s="53"/>
      <c r="AA8" s="53" t="s">
        <v>35</v>
      </c>
      <c r="AB8" s="53"/>
      <c r="AC8" s="53"/>
      <c r="AD8" s="54">
        <v>0.08</v>
      </c>
      <c r="AE8" s="26"/>
      <c r="AF8" s="55">
        <v>0.05</v>
      </c>
      <c r="AG8" s="54">
        <f>SUM(AF3:AF8)</f>
        <v>0.21000000000000002</v>
      </c>
      <c r="AH8" s="51">
        <f>($AH$4*AG8)+(($AH$4*AG8)*W8)</f>
        <v>2.73</v>
      </c>
      <c r="AI8" s="57">
        <f>($AI$4*AK8)+(($AI$4*AK8)*AL8)</f>
        <v>2.73</v>
      </c>
      <c r="AJ8" s="55">
        <v>0.05</v>
      </c>
      <c r="AK8" s="58">
        <f>SUM(AJ3:AJ8)</f>
        <v>0.21000000000000002</v>
      </c>
      <c r="AL8" s="31">
        <f t="shared" ref="AL8:AL20" si="1">SUM(AL7+(W8-W7)+AM8)</f>
        <v>0.3</v>
      </c>
      <c r="AM8" s="64"/>
      <c r="AN8" s="34"/>
    </row>
    <row r="9" spans="1:40" x14ac:dyDescent="0.25">
      <c r="A9" t="s">
        <v>36</v>
      </c>
      <c r="E9" s="65"/>
      <c r="L9" s="8"/>
      <c r="S9" s="62">
        <v>-0.01</v>
      </c>
      <c r="T9" s="62">
        <v>0.13</v>
      </c>
      <c r="U9" s="63"/>
      <c r="V9" s="66">
        <v>6.4000000000000001E-2</v>
      </c>
      <c r="W9" s="50">
        <f t="shared" si="0"/>
        <v>0.48399999999999999</v>
      </c>
      <c r="X9" s="51"/>
      <c r="Y9" s="52">
        <v>1937</v>
      </c>
      <c r="Z9" s="53"/>
      <c r="AA9" s="53" t="s">
        <v>37</v>
      </c>
      <c r="AB9" s="53"/>
      <c r="AC9" s="53"/>
      <c r="AD9" s="54">
        <v>0.06</v>
      </c>
      <c r="AE9" s="26"/>
      <c r="AF9" s="55">
        <v>0.03</v>
      </c>
      <c r="AG9" s="54">
        <f>SUM(AF3:AF9)</f>
        <v>0.24000000000000002</v>
      </c>
      <c r="AH9" s="51">
        <f>($AH$4*AG9)+(($AH$4*AG9)*W9)</f>
        <v>3.5616000000000003</v>
      </c>
      <c r="AI9" s="57">
        <f>($AI$4*AK9)+(($AI$4*AK9)*AL9)</f>
        <v>3.4416000000000002</v>
      </c>
      <c r="AJ9" s="55">
        <v>0.03</v>
      </c>
      <c r="AK9" s="58">
        <f>SUM(AJ3:AJ9)</f>
        <v>0.24000000000000002</v>
      </c>
      <c r="AL9" s="31">
        <f t="shared" si="1"/>
        <v>0.434</v>
      </c>
      <c r="AM9" s="64">
        <v>-0.05</v>
      </c>
      <c r="AN9" s="34" t="s">
        <v>38</v>
      </c>
    </row>
    <row r="10" spans="1:40" x14ac:dyDescent="0.25">
      <c r="E10" s="67" t="s">
        <v>39</v>
      </c>
      <c r="L10" s="8"/>
      <c r="S10" s="62"/>
      <c r="T10" s="62"/>
      <c r="U10" s="68">
        <v>0.06</v>
      </c>
      <c r="V10" s="36"/>
      <c r="W10" s="50">
        <f t="shared" si="0"/>
        <v>0.54400000000000004</v>
      </c>
      <c r="X10" s="51"/>
      <c r="Y10" s="52">
        <v>1938</v>
      </c>
      <c r="Z10" s="53"/>
      <c r="AA10" s="53" t="s">
        <v>40</v>
      </c>
      <c r="AB10" s="53"/>
      <c r="AC10" s="53"/>
      <c r="AD10" s="54">
        <v>0.1</v>
      </c>
      <c r="AE10" s="26">
        <f>SUM(AD3:AD10)</f>
        <v>0.65999999999999992</v>
      </c>
      <c r="AF10" s="55">
        <v>0.02</v>
      </c>
      <c r="AG10" s="54">
        <f>SUM(AF3:AF10)</f>
        <v>0.26</v>
      </c>
      <c r="AH10" s="51">
        <f>($AH$4*AG10)+(($AH$4*AG10)*W10)</f>
        <v>4.0144000000000002</v>
      </c>
      <c r="AI10" s="57">
        <f>($AI$4*AK10)+(($AI$4*AK10)*AL10)</f>
        <v>3.8844000000000003</v>
      </c>
      <c r="AJ10" s="55">
        <v>0.02</v>
      </c>
      <c r="AK10" s="58">
        <f>SUM(AJ3:AJ10)</f>
        <v>0.26</v>
      </c>
      <c r="AL10" s="31">
        <f t="shared" si="1"/>
        <v>0.49400000000000005</v>
      </c>
      <c r="AM10" s="64"/>
      <c r="AN10" s="34"/>
    </row>
    <row r="11" spans="1:40" x14ac:dyDescent="0.25">
      <c r="A11" s="7" t="s">
        <v>2</v>
      </c>
      <c r="D11" s="69"/>
      <c r="E11" s="70">
        <v>0.47</v>
      </c>
      <c r="F11" s="14" t="s">
        <v>41</v>
      </c>
      <c r="G11" s="5"/>
      <c r="L11" s="8"/>
      <c r="S11" s="62"/>
      <c r="T11" s="62">
        <v>0.16</v>
      </c>
      <c r="U11" s="63"/>
      <c r="V11" s="36">
        <v>-0.02</v>
      </c>
      <c r="W11" s="50">
        <f t="shared" si="0"/>
        <v>0.68400000000000005</v>
      </c>
      <c r="X11" s="51"/>
      <c r="Y11" s="71">
        <v>1939</v>
      </c>
      <c r="Z11" s="53"/>
      <c r="AA11" s="53" t="s">
        <v>42</v>
      </c>
      <c r="AB11" s="53"/>
      <c r="AC11" s="53"/>
      <c r="AD11" s="54">
        <v>0.08</v>
      </c>
      <c r="AE11" s="26">
        <f>SUM(AD3:AD11)</f>
        <v>0.73999999999999988</v>
      </c>
      <c r="AF11" s="72"/>
      <c r="AG11" s="54">
        <f>SUM(AF3:AF11)</f>
        <v>0.26</v>
      </c>
      <c r="AH11" s="51">
        <f>($AH$4*AG11)+(($AH$4*AG11)*W11)</f>
        <v>4.3784000000000001</v>
      </c>
      <c r="AI11" s="73"/>
      <c r="AJ11" s="74"/>
      <c r="AK11" s="75"/>
      <c r="AL11" s="31">
        <f t="shared" si="1"/>
        <v>0.54400000000000015</v>
      </c>
      <c r="AM11" s="64">
        <v>-0.09</v>
      </c>
      <c r="AN11" s="34" t="s">
        <v>43</v>
      </c>
    </row>
    <row r="12" spans="1:40" x14ac:dyDescent="0.25">
      <c r="A12" t="s">
        <v>44</v>
      </c>
      <c r="E12" s="76">
        <f>SUM((E2*E4)/E11)</f>
        <v>21.276595744680851</v>
      </c>
      <c r="F12" t="s">
        <v>45</v>
      </c>
      <c r="L12" s="8"/>
      <c r="S12" s="62">
        <v>-0.05</v>
      </c>
      <c r="T12" s="62">
        <v>0.05</v>
      </c>
      <c r="U12" s="77"/>
      <c r="V12" s="77"/>
      <c r="W12" s="50">
        <f t="shared" si="0"/>
        <v>0.68400000000000005</v>
      </c>
      <c r="Y12" s="78">
        <v>1940</v>
      </c>
      <c r="Z12" s="53"/>
      <c r="AA12" s="53" t="s">
        <v>42</v>
      </c>
      <c r="AB12" s="53"/>
      <c r="AC12" s="53"/>
      <c r="AD12" s="79"/>
      <c r="AE12" s="79"/>
      <c r="AF12" s="55">
        <v>0.03</v>
      </c>
      <c r="AG12" s="79"/>
      <c r="AH12" s="80"/>
      <c r="AI12" s="57">
        <f t="shared" ref="AI12:AI17" si="2">($AI$4*AK12)+(($AI$4*AK12)*AL12)</f>
        <v>4.7864000000000004</v>
      </c>
      <c r="AJ12" s="81">
        <v>0.05</v>
      </c>
      <c r="AK12" s="58">
        <f>SUM(AJ3:AJ12)</f>
        <v>0.31</v>
      </c>
      <c r="AL12" s="31">
        <f t="shared" si="1"/>
        <v>0.54400000000000015</v>
      </c>
    </row>
    <row r="13" spans="1:40" ht="15.75" thickBot="1" x14ac:dyDescent="0.3">
      <c r="A13" t="s">
        <v>46</v>
      </c>
      <c r="E13" s="82">
        <f>SUM(E8/E11)</f>
        <v>5.1702127659574471</v>
      </c>
      <c r="F13" s="83" t="s">
        <v>47</v>
      </c>
      <c r="G13" s="83"/>
      <c r="H13" s="83"/>
      <c r="I13" s="83"/>
      <c r="J13" s="83"/>
      <c r="K13" s="83"/>
      <c r="L13" s="84"/>
      <c r="S13" s="62">
        <v>-0.02</v>
      </c>
      <c r="T13" s="62">
        <v>0.19</v>
      </c>
      <c r="U13" s="63">
        <v>0.03</v>
      </c>
      <c r="V13" s="36"/>
      <c r="W13" s="50">
        <f t="shared" si="0"/>
        <v>0.88400000000000012</v>
      </c>
      <c r="X13" s="51"/>
      <c r="Y13" s="52">
        <v>1941</v>
      </c>
      <c r="Z13" s="53"/>
      <c r="AA13" s="53" t="s">
        <v>48</v>
      </c>
      <c r="AB13" s="53"/>
      <c r="AC13" s="53"/>
      <c r="AD13" s="54">
        <v>0.15</v>
      </c>
      <c r="AE13" s="15">
        <f>SUM(AD3:AD13)</f>
        <v>0.8899999999999999</v>
      </c>
      <c r="AF13" s="55">
        <v>0.04</v>
      </c>
      <c r="AG13" s="56">
        <f>SUM(AF3:AF13)</f>
        <v>0.33</v>
      </c>
      <c r="AH13" s="51">
        <f>($AH$4*AG13)+(($AH$4*AG13)*W13)</f>
        <v>6.2172000000000009</v>
      </c>
      <c r="AI13" s="57">
        <f t="shared" si="2"/>
        <v>7.1504000000000012</v>
      </c>
      <c r="AJ13" s="81">
        <v>0.1</v>
      </c>
      <c r="AK13" s="58">
        <f>SUM(AJ3:AJ13)</f>
        <v>0.41000000000000003</v>
      </c>
      <c r="AL13" s="31">
        <f t="shared" si="1"/>
        <v>0.74400000000000022</v>
      </c>
    </row>
    <row r="14" spans="1:40" x14ac:dyDescent="0.25">
      <c r="S14" s="62">
        <v>0.01</v>
      </c>
      <c r="T14" s="62"/>
      <c r="U14" s="63"/>
      <c r="V14" s="36"/>
      <c r="W14" s="50">
        <f t="shared" si="0"/>
        <v>0.89400000000000013</v>
      </c>
      <c r="X14" s="51"/>
      <c r="Y14" s="85">
        <v>1941</v>
      </c>
      <c r="Z14" s="86"/>
      <c r="AA14" s="86" t="s">
        <v>49</v>
      </c>
      <c r="AB14" s="86"/>
      <c r="AC14" s="86"/>
      <c r="AD14" s="54">
        <v>0.02</v>
      </c>
      <c r="AE14" s="15">
        <f>SUM(AD3:AD14)</f>
        <v>0.90999999999999992</v>
      </c>
      <c r="AF14" s="55">
        <v>0.02</v>
      </c>
      <c r="AG14" s="56">
        <f>SUM(AF3:AF14)</f>
        <v>0.35000000000000003</v>
      </c>
      <c r="AH14" s="51">
        <f>($AH$4*AG14)+(($AH$4*AG14)*W14)</f>
        <v>6.6290000000000013</v>
      </c>
      <c r="AI14" s="57">
        <f t="shared" si="2"/>
        <v>7.542200000000002</v>
      </c>
      <c r="AJ14" s="87">
        <v>0.02</v>
      </c>
      <c r="AK14" s="58">
        <f>SUM(AJ3:AJ14)</f>
        <v>0.43000000000000005</v>
      </c>
      <c r="AL14" s="31">
        <f t="shared" si="1"/>
        <v>0.75400000000000023</v>
      </c>
      <c r="AM14" s="64"/>
      <c r="AN14" s="34" t="s">
        <v>50</v>
      </c>
    </row>
    <row r="15" spans="1:40" x14ac:dyDescent="0.25">
      <c r="S15" s="62">
        <v>0.12</v>
      </c>
      <c r="T15" s="62"/>
      <c r="U15" s="63">
        <v>0.04</v>
      </c>
      <c r="V15" s="77"/>
      <c r="W15" s="50">
        <f t="shared" si="0"/>
        <v>1.054</v>
      </c>
      <c r="Y15" s="52">
        <v>1942</v>
      </c>
      <c r="AF15" s="88"/>
      <c r="AI15" s="57">
        <f t="shared" si="2"/>
        <v>6.6990000000000007</v>
      </c>
      <c r="AK15" s="89">
        <v>0.35</v>
      </c>
      <c r="AL15" s="31">
        <f t="shared" si="1"/>
        <v>0.91400000000000015</v>
      </c>
    </row>
    <row r="16" spans="1:40" x14ac:dyDescent="0.25">
      <c r="A16" s="90" t="s">
        <v>51</v>
      </c>
      <c r="E16" s="91" t="s">
        <v>52</v>
      </c>
      <c r="F16" s="91" t="s">
        <v>53</v>
      </c>
      <c r="G16" s="91" t="s">
        <v>54</v>
      </c>
      <c r="H16" s="91" t="s">
        <v>33</v>
      </c>
      <c r="I16" s="91"/>
      <c r="J16" s="91"/>
      <c r="S16" s="62">
        <v>-0.02</v>
      </c>
      <c r="T16" s="62">
        <v>0.32</v>
      </c>
      <c r="U16" s="63">
        <v>0.08</v>
      </c>
      <c r="V16" s="36"/>
      <c r="W16" s="50">
        <f t="shared" si="0"/>
        <v>1.4340000000000002</v>
      </c>
      <c r="X16" s="51"/>
      <c r="Y16" s="52">
        <v>1943</v>
      </c>
      <c r="Z16" s="53"/>
      <c r="AA16" s="53" t="s">
        <v>55</v>
      </c>
      <c r="AB16" s="53"/>
      <c r="AC16" s="53"/>
      <c r="AD16" s="54">
        <v>7.0000000000000007E-2</v>
      </c>
      <c r="AE16" s="15">
        <f>SUM(AD3:AD16)</f>
        <v>0.98</v>
      </c>
      <c r="AF16" s="55">
        <v>0.26</v>
      </c>
      <c r="AG16" s="56">
        <f>SUM(AF3:AF16)</f>
        <v>0.6100000000000001</v>
      </c>
      <c r="AH16" s="51">
        <f>($AH$4*AG16)+(($AH$4*AG16)*W16)</f>
        <v>14.847400000000004</v>
      </c>
      <c r="AI16" s="57">
        <f t="shared" si="2"/>
        <v>14.452200000000003</v>
      </c>
      <c r="AJ16" s="81">
        <v>0.2</v>
      </c>
      <c r="AK16" s="58">
        <f>SUM(AJ3:AJ16)</f>
        <v>0.63000000000000012</v>
      </c>
      <c r="AL16" s="31">
        <f t="shared" si="1"/>
        <v>1.2940000000000003</v>
      </c>
      <c r="AM16" s="64"/>
      <c r="AN16" s="34" t="s">
        <v>56</v>
      </c>
    </row>
    <row r="17" spans="1:39" x14ac:dyDescent="0.25">
      <c r="A17" s="92" t="s">
        <v>57</v>
      </c>
      <c r="E17" s="93">
        <v>10</v>
      </c>
      <c r="F17" s="94">
        <v>0.63</v>
      </c>
      <c r="G17" s="95">
        <v>1.29</v>
      </c>
      <c r="H17" s="96">
        <f>(E17*F17)+((E17*F17)*G17)</f>
        <v>14.427</v>
      </c>
      <c r="S17" s="62"/>
      <c r="T17" s="61">
        <v>7.4999999999999997E-2</v>
      </c>
      <c r="U17" s="63"/>
      <c r="V17" s="36"/>
      <c r="W17" s="50">
        <f t="shared" si="0"/>
        <v>1.5090000000000001</v>
      </c>
      <c r="X17" s="51"/>
      <c r="Y17" s="52">
        <v>1944</v>
      </c>
      <c r="Z17" s="53"/>
      <c r="AA17" s="53" t="s">
        <v>58</v>
      </c>
      <c r="AB17" s="53"/>
      <c r="AC17" s="53"/>
      <c r="AD17" s="54">
        <v>0.05</v>
      </c>
      <c r="AE17" s="15">
        <f>SUM(AD3:AD17)</f>
        <v>1.03</v>
      </c>
      <c r="AF17" s="55">
        <v>0.32</v>
      </c>
      <c r="AG17" s="56">
        <f>SUM(AF3:AF17)</f>
        <v>0.93000000000000016</v>
      </c>
      <c r="AH17" s="51">
        <f>($AH$4*AG17)+(($AH$4*AG17)*W17)</f>
        <v>23.3337</v>
      </c>
      <c r="AI17" s="57">
        <f t="shared" si="2"/>
        <v>22.031700000000004</v>
      </c>
      <c r="AJ17" s="81">
        <v>0.3</v>
      </c>
      <c r="AK17" s="58">
        <f>SUM(AJ3:AJ17)</f>
        <v>0.93000000000000016</v>
      </c>
      <c r="AL17" s="31">
        <f t="shared" si="1"/>
        <v>1.3690000000000002</v>
      </c>
      <c r="AM17" s="64"/>
    </row>
    <row r="18" spans="1:39" x14ac:dyDescent="0.25">
      <c r="E18" s="97" t="s">
        <v>59</v>
      </c>
      <c r="H18" s="91"/>
      <c r="S18" s="98"/>
      <c r="T18" s="98"/>
      <c r="U18" s="63">
        <v>0.05</v>
      </c>
      <c r="V18" s="36"/>
      <c r="W18" s="50">
        <f t="shared" si="0"/>
        <v>1.5590000000000002</v>
      </c>
      <c r="X18" s="15"/>
      <c r="Y18" s="52">
        <v>1945</v>
      </c>
      <c r="Z18" s="53"/>
      <c r="AA18" s="53" t="s">
        <v>60</v>
      </c>
      <c r="AB18" s="53"/>
      <c r="AC18" s="53"/>
      <c r="AD18" s="54">
        <v>0</v>
      </c>
      <c r="AF18" s="55"/>
      <c r="AH18" s="15"/>
      <c r="AI18" s="57"/>
      <c r="AJ18" s="81"/>
      <c r="AK18" s="58"/>
      <c r="AL18" s="31">
        <f t="shared" si="1"/>
        <v>1.4190000000000003</v>
      </c>
    </row>
    <row r="19" spans="1:39" x14ac:dyDescent="0.25">
      <c r="B19" s="15"/>
      <c r="C19" s="15"/>
      <c r="D19" s="15"/>
      <c r="E19" s="91" t="s">
        <v>61</v>
      </c>
      <c r="F19" s="99" t="s">
        <v>62</v>
      </c>
      <c r="G19" s="91" t="s">
        <v>63</v>
      </c>
      <c r="H19" s="100" t="s">
        <v>64</v>
      </c>
      <c r="I19" s="91" t="s">
        <v>65</v>
      </c>
      <c r="J19" s="91" t="s">
        <v>66</v>
      </c>
      <c r="K19" s="91"/>
      <c r="L19" s="91" t="s">
        <v>67</v>
      </c>
      <c r="N19" s="91"/>
      <c r="O19" s="91"/>
      <c r="P19" s="91"/>
      <c r="S19" s="98"/>
      <c r="T19" s="98"/>
      <c r="U19" s="63"/>
      <c r="V19" s="36"/>
      <c r="W19" s="50">
        <f t="shared" si="0"/>
        <v>1.5590000000000002</v>
      </c>
      <c r="X19" s="51"/>
      <c r="Y19" s="85">
        <v>1945</v>
      </c>
      <c r="Z19" s="86"/>
      <c r="AA19" s="86" t="s">
        <v>68</v>
      </c>
      <c r="AB19" s="86"/>
      <c r="AC19" s="86"/>
      <c r="AD19" s="54">
        <v>0.03</v>
      </c>
      <c r="AF19" s="55">
        <v>0.03</v>
      </c>
      <c r="AG19" s="54">
        <f>SUM(AF3:AF19)</f>
        <v>0.96000000000000019</v>
      </c>
      <c r="AH19" s="51">
        <f>($AH$4*AG19)+(($AH$4*AG19)*W19)</f>
        <v>24.566400000000005</v>
      </c>
      <c r="AI19" s="57">
        <f>($AI$4*AK19)+(($AI$4*AK19)*AL19)</f>
        <v>23.222400000000007</v>
      </c>
      <c r="AJ19" s="55">
        <v>0.03</v>
      </c>
      <c r="AK19" s="58">
        <f>SUM(AJ3:AJ19)</f>
        <v>0.96000000000000019</v>
      </c>
      <c r="AL19" s="31">
        <f t="shared" si="1"/>
        <v>1.4190000000000003</v>
      </c>
    </row>
    <row r="20" spans="1:39" x14ac:dyDescent="0.25">
      <c r="A20" t="s">
        <v>69</v>
      </c>
      <c r="B20" s="101">
        <v>0.6</v>
      </c>
      <c r="C20" s="101"/>
      <c r="D20" s="101"/>
      <c r="E20" s="102">
        <f>SUM(B20/$H$17)</f>
        <v>4.1588687876897484E-2</v>
      </c>
      <c r="F20" s="103">
        <v>100000</v>
      </c>
      <c r="G20" s="104">
        <f t="shared" ref="G20:G28" si="3">SUM(F20*B20)/$H$17</f>
        <v>4158.8687876897484</v>
      </c>
      <c r="H20" s="105">
        <f t="shared" ref="H20:H28" si="4">ROUNDUP(((F20*B20)/$H$17)/365,0)</f>
        <v>12</v>
      </c>
      <c r="I20" s="106">
        <v>39</v>
      </c>
      <c r="J20" s="107">
        <f t="shared" ref="J20:J28" si="5">SUM((F20*B20)/($H$17*I20))</f>
        <v>106.63766122281406</v>
      </c>
      <c r="K20" s="91"/>
      <c r="L20" s="91"/>
      <c r="N20" s="91"/>
      <c r="O20" s="91"/>
      <c r="P20" s="91"/>
      <c r="S20" s="62"/>
      <c r="T20" s="62"/>
      <c r="U20" s="63"/>
      <c r="V20" s="36"/>
      <c r="W20" s="50">
        <f t="shared" si="0"/>
        <v>1.5590000000000002</v>
      </c>
      <c r="X20" s="51"/>
      <c r="Y20" s="108">
        <v>1945</v>
      </c>
      <c r="Z20" s="109"/>
      <c r="AA20" s="109" t="s">
        <v>70</v>
      </c>
      <c r="AB20" s="109"/>
      <c r="AC20" s="109"/>
      <c r="AD20" s="110">
        <v>0.06</v>
      </c>
      <c r="AE20" s="17"/>
      <c r="AF20" s="111">
        <v>0.04</v>
      </c>
      <c r="AG20" s="110">
        <f>SUM(AF3:AF20)</f>
        <v>1.0000000000000002</v>
      </c>
      <c r="AH20" s="112">
        <f>($AH$4*AG20)+(($AH$4*AG20)*W20)</f>
        <v>25.590000000000007</v>
      </c>
      <c r="AI20" s="113">
        <f>($AI$4*AK20)+(($AI$4*AK20)*AL20)</f>
        <v>24.190000000000005</v>
      </c>
      <c r="AJ20" s="111">
        <v>0.04</v>
      </c>
      <c r="AK20" s="114">
        <f>SUM(AJ3:AJ20)</f>
        <v>1.0000000000000002</v>
      </c>
      <c r="AL20" s="31">
        <f t="shared" si="1"/>
        <v>1.4190000000000003</v>
      </c>
    </row>
    <row r="21" spans="1:39" x14ac:dyDescent="0.25">
      <c r="A21" t="s">
        <v>71</v>
      </c>
      <c r="B21" s="101">
        <v>5</v>
      </c>
      <c r="C21" s="101"/>
      <c r="D21" s="101"/>
      <c r="E21" s="102">
        <f t="shared" ref="E21:E28" si="6">SUM(B21/$H$17)</f>
        <v>0.34657239897414571</v>
      </c>
      <c r="F21" s="103">
        <v>17605</v>
      </c>
      <c r="G21" s="104">
        <f t="shared" si="3"/>
        <v>6101.4070839398355</v>
      </c>
      <c r="H21" s="105">
        <f t="shared" si="4"/>
        <v>17</v>
      </c>
      <c r="I21" s="106">
        <v>51</v>
      </c>
      <c r="J21" s="107">
        <f t="shared" si="5"/>
        <v>119.63543301842815</v>
      </c>
      <c r="K21" s="91"/>
      <c r="L21" s="91"/>
      <c r="N21" s="91"/>
      <c r="O21" s="91"/>
      <c r="P21" s="91"/>
      <c r="S21" s="62"/>
      <c r="T21" s="62"/>
      <c r="U21" s="63"/>
      <c r="V21" s="36"/>
      <c r="W21" s="50"/>
      <c r="X21" s="51"/>
      <c r="Y21" s="115"/>
      <c r="Z21" s="115"/>
      <c r="AA21" s="115"/>
      <c r="AB21" s="115"/>
      <c r="AC21" s="115"/>
      <c r="AD21" s="54"/>
      <c r="AF21" s="55"/>
      <c r="AG21" s="54"/>
      <c r="AH21" s="51"/>
      <c r="AI21" s="57"/>
      <c r="AJ21" s="55"/>
      <c r="AK21" s="54"/>
      <c r="AL21" s="31"/>
    </row>
    <row r="22" spans="1:39" x14ac:dyDescent="0.25">
      <c r="A22" t="s">
        <v>72</v>
      </c>
      <c r="B22" s="15">
        <v>26.82</v>
      </c>
      <c r="C22" s="15"/>
      <c r="D22" s="15"/>
      <c r="E22" s="102">
        <f t="shared" si="6"/>
        <v>1.8590143480973176</v>
      </c>
      <c r="F22" s="103">
        <v>30</v>
      </c>
      <c r="G22" s="104">
        <f t="shared" si="3"/>
        <v>55.770430442919526</v>
      </c>
      <c r="H22" s="105">
        <f t="shared" si="4"/>
        <v>1</v>
      </c>
      <c r="I22" s="106">
        <v>5</v>
      </c>
      <c r="J22" s="107">
        <f t="shared" si="5"/>
        <v>11.154086088583908</v>
      </c>
      <c r="K22" s="91"/>
      <c r="L22" s="91"/>
      <c r="N22" s="91"/>
      <c r="O22" s="91"/>
      <c r="P22" s="91"/>
      <c r="Q22" s="91"/>
      <c r="R22" s="15" t="s">
        <v>73</v>
      </c>
      <c r="S22" s="15"/>
      <c r="T22" s="15"/>
      <c r="U22" s="15"/>
    </row>
    <row r="23" spans="1:39" x14ac:dyDescent="0.25">
      <c r="A23" t="s">
        <v>74</v>
      </c>
      <c r="B23" s="15">
        <v>25.72</v>
      </c>
      <c r="C23" s="15"/>
      <c r="D23" s="15"/>
      <c r="E23" s="102">
        <f t="shared" si="6"/>
        <v>1.7827684203230054</v>
      </c>
      <c r="F23" s="103">
        <v>2356</v>
      </c>
      <c r="G23" s="104">
        <f t="shared" si="3"/>
        <v>4200.2023982810006</v>
      </c>
      <c r="H23" s="105">
        <f t="shared" si="4"/>
        <v>12</v>
      </c>
      <c r="I23" s="106">
        <v>39</v>
      </c>
      <c r="J23" s="107">
        <f t="shared" si="5"/>
        <v>107.69749739182053</v>
      </c>
      <c r="K23" s="91"/>
      <c r="L23" s="91"/>
      <c r="N23" s="91"/>
      <c r="O23" s="91"/>
      <c r="P23" s="91"/>
      <c r="Q23" s="91"/>
      <c r="R23" s="15" t="s">
        <v>75</v>
      </c>
      <c r="S23" s="15"/>
      <c r="T23" s="15">
        <v>4000</v>
      </c>
      <c r="U23" s="15">
        <v>1</v>
      </c>
      <c r="V23" s="116">
        <v>35</v>
      </c>
      <c r="AE23" s="117"/>
      <c r="AF23" s="103"/>
      <c r="AG23" s="117"/>
      <c r="AI23" s="118"/>
    </row>
    <row r="24" spans="1:39" x14ac:dyDescent="0.25">
      <c r="A24" t="s">
        <v>76</v>
      </c>
      <c r="B24" s="15">
        <v>34.42</v>
      </c>
      <c r="C24" s="15"/>
      <c r="D24" s="15"/>
      <c r="E24" s="102">
        <f t="shared" si="6"/>
        <v>2.385804394538019</v>
      </c>
      <c r="F24" s="103">
        <v>4752</v>
      </c>
      <c r="G24" s="104">
        <f t="shared" si="3"/>
        <v>11337.342482844666</v>
      </c>
      <c r="H24" s="105">
        <f t="shared" si="4"/>
        <v>32</v>
      </c>
      <c r="I24" s="106">
        <v>105</v>
      </c>
      <c r="J24" s="107">
        <f t="shared" si="5"/>
        <v>107.97469031280635</v>
      </c>
      <c r="K24" s="15"/>
      <c r="L24" s="15">
        <v>2000</v>
      </c>
      <c r="N24" s="15"/>
      <c r="O24" s="15"/>
      <c r="P24" s="15"/>
      <c r="Q24" s="15"/>
      <c r="R24" s="15" t="s">
        <v>77</v>
      </c>
      <c r="S24" s="15"/>
      <c r="T24" s="15">
        <v>7200</v>
      </c>
      <c r="U24" s="15">
        <f>SUM(T24/$T$23)</f>
        <v>1.8</v>
      </c>
      <c r="V24" s="116">
        <f>SUM($V$23)*U24</f>
        <v>63</v>
      </c>
      <c r="Z24" s="5"/>
      <c r="AE24" s="103"/>
      <c r="AF24" s="103"/>
      <c r="AG24" s="117"/>
      <c r="AI24" s="118"/>
    </row>
    <row r="25" spans="1:39" x14ac:dyDescent="0.25">
      <c r="A25" t="s">
        <v>78</v>
      </c>
      <c r="B25" s="15">
        <v>43.04</v>
      </c>
      <c r="C25" s="15"/>
      <c r="D25" s="15"/>
      <c r="E25" s="102">
        <f t="shared" si="6"/>
        <v>2.9832952103694463</v>
      </c>
      <c r="F25" s="103">
        <v>6625</v>
      </c>
      <c r="G25" s="104">
        <f t="shared" si="3"/>
        <v>19764.330768697582</v>
      </c>
      <c r="H25" s="105">
        <f t="shared" si="4"/>
        <v>55</v>
      </c>
      <c r="I25" s="106">
        <v>183</v>
      </c>
      <c r="J25" s="107">
        <f t="shared" si="5"/>
        <v>108.00180747922175</v>
      </c>
      <c r="K25" s="15"/>
      <c r="L25" s="15"/>
      <c r="N25" s="15"/>
      <c r="O25" s="15"/>
      <c r="P25" s="15"/>
      <c r="Q25" s="15"/>
      <c r="R25" s="15" t="s">
        <v>79</v>
      </c>
      <c r="S25" s="15"/>
      <c r="T25" s="15">
        <v>5900</v>
      </c>
      <c r="U25" s="15">
        <f t="shared" ref="U25:U30" si="7">SUM(T25/$T$23)</f>
        <v>1.4750000000000001</v>
      </c>
      <c r="V25" s="116">
        <f t="shared" ref="V25:V30" si="8">SUM($V$23)*U25</f>
        <v>51.625</v>
      </c>
      <c r="AE25" s="117"/>
      <c r="AF25" s="117"/>
      <c r="AG25" s="103"/>
      <c r="AI25" s="118"/>
    </row>
    <row r="26" spans="1:39" ht="15.75" thickBot="1" x14ac:dyDescent="0.3">
      <c r="A26" t="s">
        <v>80</v>
      </c>
      <c r="B26" s="15">
        <v>42.87</v>
      </c>
      <c r="C26" s="15"/>
      <c r="D26" s="15"/>
      <c r="E26" s="102">
        <f t="shared" si="6"/>
        <v>2.9715117488043252</v>
      </c>
      <c r="F26" s="103">
        <v>4003</v>
      </c>
      <c r="G26" s="104">
        <f t="shared" si="3"/>
        <v>11894.961530463714</v>
      </c>
      <c r="H26" s="105">
        <f t="shared" si="4"/>
        <v>33</v>
      </c>
      <c r="I26" s="106">
        <v>110</v>
      </c>
      <c r="J26" s="107">
        <f t="shared" si="5"/>
        <v>108.13601391330648</v>
      </c>
      <c r="K26" s="15"/>
      <c r="L26" s="15">
        <v>2000</v>
      </c>
      <c r="N26" s="15"/>
      <c r="O26" s="15"/>
      <c r="P26" s="15"/>
      <c r="Q26" s="15"/>
      <c r="R26" s="15" t="s">
        <v>81</v>
      </c>
      <c r="S26" s="15"/>
      <c r="T26" s="15">
        <v>13200</v>
      </c>
      <c r="U26" s="15">
        <f t="shared" si="7"/>
        <v>3.3</v>
      </c>
      <c r="V26" s="116">
        <f>SUM($V$23)*U26</f>
        <v>115.5</v>
      </c>
      <c r="AE26" s="117"/>
      <c r="AF26" s="117"/>
      <c r="AG26" s="103"/>
      <c r="AI26" s="118"/>
    </row>
    <row r="27" spans="1:39" x14ac:dyDescent="0.25">
      <c r="A27" t="s">
        <v>82</v>
      </c>
      <c r="B27" s="15">
        <v>57.75</v>
      </c>
      <c r="C27" s="15"/>
      <c r="D27" s="15"/>
      <c r="E27" s="102">
        <f t="shared" si="6"/>
        <v>4.0029112081513833</v>
      </c>
      <c r="F27" s="103">
        <v>641</v>
      </c>
      <c r="G27" s="104">
        <f t="shared" si="3"/>
        <v>2565.8660844250367</v>
      </c>
      <c r="H27" s="105">
        <f t="shared" si="4"/>
        <v>8</v>
      </c>
      <c r="I27" s="106">
        <v>24</v>
      </c>
      <c r="J27" s="107">
        <f t="shared" si="5"/>
        <v>106.91108685104318</v>
      </c>
      <c r="K27" s="15"/>
      <c r="L27" s="15"/>
      <c r="N27" s="15"/>
      <c r="O27" s="15"/>
      <c r="P27" s="15"/>
      <c r="Q27" s="15"/>
      <c r="R27" s="15" t="s">
        <v>83</v>
      </c>
      <c r="S27" s="15"/>
      <c r="T27" s="15">
        <v>800</v>
      </c>
      <c r="U27" s="15">
        <f t="shared" si="7"/>
        <v>0.2</v>
      </c>
      <c r="V27" s="116">
        <f t="shared" si="8"/>
        <v>7</v>
      </c>
      <c r="Z27" s="318"/>
      <c r="AA27" s="319"/>
      <c r="AB27" s="319" t="s">
        <v>52</v>
      </c>
      <c r="AC27" s="336">
        <v>5</v>
      </c>
      <c r="AD27" s="319" t="s">
        <v>84</v>
      </c>
      <c r="AE27" s="320">
        <v>7.42</v>
      </c>
      <c r="AF27" s="321"/>
      <c r="AG27" s="103"/>
      <c r="AI27" s="118"/>
      <c r="AJ27" s="120"/>
    </row>
    <row r="28" spans="1:39" x14ac:dyDescent="0.25">
      <c r="A28" t="s">
        <v>85</v>
      </c>
      <c r="B28" s="121">
        <v>70</v>
      </c>
      <c r="C28" s="121"/>
      <c r="D28" s="121"/>
      <c r="E28" s="102">
        <f t="shared" si="6"/>
        <v>4.8520135856380397</v>
      </c>
      <c r="F28" s="103">
        <v>428</v>
      </c>
      <c r="G28" s="104">
        <f t="shared" si="3"/>
        <v>2076.6618146530809</v>
      </c>
      <c r="H28" s="105">
        <f t="shared" si="4"/>
        <v>6</v>
      </c>
      <c r="I28" s="106">
        <v>20</v>
      </c>
      <c r="J28" s="107">
        <f t="shared" si="5"/>
        <v>103.83309073265407</v>
      </c>
      <c r="K28" s="15"/>
      <c r="L28" s="15"/>
      <c r="N28" s="15"/>
      <c r="O28" s="15"/>
      <c r="P28" s="15"/>
      <c r="Q28" s="15"/>
      <c r="R28" s="15" t="s">
        <v>86</v>
      </c>
      <c r="S28" s="15"/>
      <c r="T28" s="15">
        <v>2400</v>
      </c>
      <c r="U28" s="15">
        <f t="shared" si="7"/>
        <v>0.6</v>
      </c>
      <c r="V28" s="116">
        <f t="shared" si="8"/>
        <v>21</v>
      </c>
      <c r="Z28" s="322"/>
      <c r="AA28" s="323"/>
      <c r="AB28" s="323"/>
      <c r="AC28" s="323">
        <v>2024</v>
      </c>
      <c r="AD28" s="323">
        <v>2025</v>
      </c>
      <c r="AE28" s="324" t="s">
        <v>87</v>
      </c>
      <c r="AF28" s="325" t="s">
        <v>88</v>
      </c>
      <c r="AG28" s="103"/>
      <c r="AI28" s="118"/>
      <c r="AJ28" s="120"/>
    </row>
    <row r="29" spans="1:39" x14ac:dyDescent="0.25">
      <c r="B29" s="15"/>
      <c r="C29" s="15"/>
      <c r="D29" s="15"/>
      <c r="E29" s="102"/>
      <c r="F29" s="103"/>
      <c r="G29" s="104"/>
      <c r="H29" s="122"/>
      <c r="I29" s="122"/>
      <c r="J29" s="122"/>
      <c r="K29" s="107"/>
      <c r="L29" s="15"/>
      <c r="M29" s="15"/>
      <c r="N29" s="15"/>
      <c r="O29" s="15"/>
      <c r="P29" s="15"/>
      <c r="Q29" s="15"/>
      <c r="R29" s="15" t="s">
        <v>89</v>
      </c>
      <c r="S29" s="15"/>
      <c r="T29" s="15">
        <v>9</v>
      </c>
      <c r="U29" s="15">
        <f t="shared" si="7"/>
        <v>2.2499999999999998E-3</v>
      </c>
      <c r="V29" s="116">
        <f t="shared" si="8"/>
        <v>7.8750000000000001E-2</v>
      </c>
      <c r="Z29" s="326" t="s">
        <v>90</v>
      </c>
      <c r="AA29" s="323"/>
      <c r="AB29" s="323"/>
      <c r="AC29" s="327">
        <v>367</v>
      </c>
      <c r="AD29" s="327">
        <v>432</v>
      </c>
      <c r="AE29" s="323"/>
      <c r="AF29" s="328"/>
    </row>
    <row r="30" spans="1:39" x14ac:dyDescent="0.25">
      <c r="A30" s="125">
        <v>1943</v>
      </c>
      <c r="B30" s="122" t="s">
        <v>91</v>
      </c>
      <c r="C30" s="122"/>
      <c r="D30" s="122"/>
      <c r="E30" s="102" t="s">
        <v>92</v>
      </c>
      <c r="F30" s="126" t="s">
        <v>93</v>
      </c>
      <c r="G30" s="127"/>
      <c r="H30" s="122" t="s">
        <v>91</v>
      </c>
      <c r="I30" s="122"/>
      <c r="J30" s="122"/>
      <c r="K30" s="107"/>
      <c r="L30" s="15"/>
      <c r="M30" s="15"/>
      <c r="N30" s="15"/>
      <c r="O30" s="15"/>
      <c r="P30" s="15"/>
      <c r="Q30" s="15"/>
      <c r="R30" s="15" t="s">
        <v>94</v>
      </c>
      <c r="S30" s="15"/>
      <c r="T30" s="15">
        <v>329</v>
      </c>
      <c r="U30" s="15">
        <f t="shared" si="7"/>
        <v>8.2250000000000004E-2</v>
      </c>
      <c r="V30" s="116">
        <f t="shared" si="8"/>
        <v>2.8787500000000001</v>
      </c>
      <c r="Z30" s="329" t="s">
        <v>95</v>
      </c>
      <c r="AA30" s="323"/>
      <c r="AB30" s="323"/>
      <c r="AC30" s="323">
        <v>195</v>
      </c>
      <c r="AD30" s="330">
        <v>256</v>
      </c>
      <c r="AE30" s="323">
        <f>SUM(AD30*$AE$27)</f>
        <v>1899.52</v>
      </c>
      <c r="AF30" s="331">
        <f>SUM(AE30)*365</f>
        <v>693324.80000000005</v>
      </c>
    </row>
    <row r="31" spans="1:39" ht="15.75" thickBot="1" x14ac:dyDescent="0.3">
      <c r="B31" s="129" t="s">
        <v>96</v>
      </c>
      <c r="C31" s="129" t="s">
        <v>97</v>
      </c>
      <c r="D31" s="129" t="s">
        <v>98</v>
      </c>
      <c r="E31" s="91" t="s">
        <v>61</v>
      </c>
      <c r="F31" s="99" t="s">
        <v>62</v>
      </c>
      <c r="G31" s="99" t="s">
        <v>99</v>
      </c>
      <c r="H31" s="129" t="s">
        <v>63</v>
      </c>
      <c r="I31" s="130" t="s">
        <v>100</v>
      </c>
      <c r="J31" s="100" t="s">
        <v>64</v>
      </c>
      <c r="K31" s="91" t="s">
        <v>66</v>
      </c>
      <c r="L31" s="131" t="s">
        <v>101</v>
      </c>
      <c r="M31" s="132"/>
      <c r="Q31" s="15"/>
      <c r="R31" s="15"/>
      <c r="S31" s="15"/>
      <c r="T31" s="15"/>
      <c r="U31" s="15"/>
      <c r="Z31" s="329" t="s">
        <v>102</v>
      </c>
      <c r="AA31" s="323"/>
      <c r="AB31" s="323"/>
      <c r="AC31" s="323">
        <v>73</v>
      </c>
      <c r="AD31" s="330">
        <v>77</v>
      </c>
      <c r="AE31" s="323">
        <f t="shared" ref="AE31:AE32" si="9">SUM(AD31*$AE$27)</f>
        <v>571.34</v>
      </c>
      <c r="AF31" s="331">
        <f>SUM(AE31)*365</f>
        <v>208539.1</v>
      </c>
    </row>
    <row r="32" spans="1:39" ht="15.75" thickBot="1" x14ac:dyDescent="0.3">
      <c r="A32" s="133" t="s">
        <v>103</v>
      </c>
      <c r="B32" s="134">
        <v>27.34</v>
      </c>
      <c r="C32" s="135">
        <f t="shared" ref="C32:C51" si="10">SUM($H$17/B32)</f>
        <v>0.52768836869056324</v>
      </c>
      <c r="D32" s="136">
        <f t="shared" ref="D32:D51" si="11">SUM(($H$17*J32*365)/B32)</f>
        <v>192.60625457205558</v>
      </c>
      <c r="E32" s="137">
        <f t="shared" ref="E32:E51" si="12">SUM(B32/$H$17)</f>
        <v>1.8950578775906288</v>
      </c>
      <c r="F32" s="138">
        <v>77</v>
      </c>
      <c r="G32" s="139">
        <f>SUM(F32/365)</f>
        <v>0.21095890410958903</v>
      </c>
      <c r="H32" s="140">
        <f>SUM(F32*B32)/$H$17</f>
        <v>145.9194565744784</v>
      </c>
      <c r="I32" s="140">
        <f>SUM(B32*F32)</f>
        <v>2105.1799999999998</v>
      </c>
      <c r="J32" s="141">
        <f>ROUNDUP(((F32*B32)/$H$17)/365,0)</f>
        <v>1</v>
      </c>
      <c r="K32" s="142">
        <f t="shared" ref="K32:K51" si="13">SUM((F32*B32)/($H$17*J32))</f>
        <v>145.9194565744784</v>
      </c>
      <c r="L32" s="143">
        <f>SUM(F32:F34)</f>
        <v>803</v>
      </c>
      <c r="M32" s="144"/>
      <c r="Q32" s="15"/>
      <c r="R32" s="15" t="s">
        <v>73</v>
      </c>
      <c r="S32" s="15"/>
      <c r="T32" s="15"/>
      <c r="U32" s="15"/>
      <c r="Z32" s="332" t="s">
        <v>104</v>
      </c>
      <c r="AA32" s="333"/>
      <c r="AB32" s="333"/>
      <c r="AC32" s="333">
        <v>98</v>
      </c>
      <c r="AD32" s="334">
        <v>101</v>
      </c>
      <c r="AE32" s="333">
        <f t="shared" si="9"/>
        <v>749.42</v>
      </c>
      <c r="AF32" s="335">
        <f>SUM(AE32)*365</f>
        <v>273538.3</v>
      </c>
    </row>
    <row r="33" spans="1:33" x14ac:dyDescent="0.25">
      <c r="A33" s="145" t="s">
        <v>105</v>
      </c>
      <c r="B33" s="146">
        <v>24.64</v>
      </c>
      <c r="C33" s="147">
        <f t="shared" si="10"/>
        <v>0.58551136363636358</v>
      </c>
      <c r="D33" s="147">
        <f t="shared" si="11"/>
        <v>641.13494318181813</v>
      </c>
      <c r="E33" s="102">
        <f t="shared" si="12"/>
        <v>1.7079087821445902</v>
      </c>
      <c r="F33" s="148">
        <v>514</v>
      </c>
      <c r="G33" s="149">
        <f t="shared" ref="G33" si="14">SUM(F33/365)</f>
        <v>1.4082191780821918</v>
      </c>
      <c r="H33" s="150">
        <f t="shared" ref="H33:H51" si="15">SUM(F33*B33)/$H$17</f>
        <v>877.8651140223194</v>
      </c>
      <c r="I33" s="150">
        <f t="shared" ref="I33:I51" si="16">SUM(B33*F33)</f>
        <v>12664.960000000001</v>
      </c>
      <c r="J33" s="105">
        <f t="shared" ref="J33:J51" si="17">ROUNDUP(((F33*B33)/$H$17)/365,0)</f>
        <v>3</v>
      </c>
      <c r="K33" s="151">
        <f t="shared" si="13"/>
        <v>292.62170467410647</v>
      </c>
      <c r="L33" s="143"/>
      <c r="M33" s="144"/>
      <c r="O33" s="15"/>
      <c r="P33" s="15"/>
      <c r="Q33" s="15"/>
      <c r="R33" s="15" t="s">
        <v>75</v>
      </c>
      <c r="S33" s="15"/>
      <c r="T33" s="15">
        <v>8000</v>
      </c>
      <c r="U33" s="15">
        <v>1</v>
      </c>
      <c r="V33" s="116">
        <v>35</v>
      </c>
    </row>
    <row r="34" spans="1:33" ht="15.75" thickBot="1" x14ac:dyDescent="0.3">
      <c r="A34" s="145" t="s">
        <v>106</v>
      </c>
      <c r="B34" s="146">
        <v>19.88</v>
      </c>
      <c r="C34" s="147">
        <f t="shared" si="10"/>
        <v>0.72570422535211265</v>
      </c>
      <c r="D34" s="147">
        <f t="shared" si="11"/>
        <v>264.88204225352109</v>
      </c>
      <c r="E34" s="102">
        <f t="shared" si="12"/>
        <v>1.3779718583212033</v>
      </c>
      <c r="F34" s="148">
        <v>212</v>
      </c>
      <c r="G34" s="149">
        <f t="shared" ref="G34:G51" si="18">SUM(F34/365)</f>
        <v>0.58082191780821912</v>
      </c>
      <c r="H34" s="150">
        <f t="shared" si="15"/>
        <v>292.13003396409505</v>
      </c>
      <c r="I34" s="150">
        <f t="shared" si="16"/>
        <v>4214.5599999999995</v>
      </c>
      <c r="J34" s="105">
        <f t="shared" si="17"/>
        <v>1</v>
      </c>
      <c r="K34" s="151">
        <f t="shared" si="13"/>
        <v>292.13003396409505</v>
      </c>
      <c r="L34" s="143"/>
      <c r="M34" s="144"/>
      <c r="O34" s="15"/>
      <c r="P34" s="15"/>
      <c r="Q34" s="15"/>
      <c r="R34" s="15" t="s">
        <v>77</v>
      </c>
      <c r="S34" s="15"/>
      <c r="T34" s="15">
        <v>14600</v>
      </c>
      <c r="U34" s="15">
        <f t="shared" ref="U34:U40" si="19">SUM(T34/$T$23)</f>
        <v>3.65</v>
      </c>
      <c r="V34" s="116">
        <f>SUM($V$23)*U34</f>
        <v>127.75</v>
      </c>
      <c r="AC34" s="15"/>
    </row>
    <row r="35" spans="1:33" x14ac:dyDescent="0.25">
      <c r="A35" s="133" t="s">
        <v>107</v>
      </c>
      <c r="B35" s="152">
        <v>26</v>
      </c>
      <c r="C35" s="153">
        <f t="shared" si="10"/>
        <v>0.55488461538461542</v>
      </c>
      <c r="D35" s="153">
        <f t="shared" si="11"/>
        <v>810.13153846153841</v>
      </c>
      <c r="E35" s="137">
        <f t="shared" si="12"/>
        <v>1.8021764746655577</v>
      </c>
      <c r="F35" s="138">
        <v>783</v>
      </c>
      <c r="G35" s="139">
        <f t="shared" si="18"/>
        <v>2.1452054794520548</v>
      </c>
      <c r="H35" s="140">
        <f t="shared" si="15"/>
        <v>1411.1041796631316</v>
      </c>
      <c r="I35" s="140">
        <f t="shared" si="16"/>
        <v>20358</v>
      </c>
      <c r="J35" s="141">
        <f t="shared" si="17"/>
        <v>4</v>
      </c>
      <c r="K35" s="142">
        <f t="shared" si="13"/>
        <v>352.7760449157829</v>
      </c>
      <c r="L35" s="143">
        <f>SUM(F35:F36)</f>
        <v>1008</v>
      </c>
      <c r="M35" s="144"/>
      <c r="O35" s="15"/>
      <c r="P35" s="15"/>
      <c r="Q35" s="15"/>
      <c r="R35" s="15" t="s">
        <v>79</v>
      </c>
      <c r="S35" s="15"/>
      <c r="T35" s="15">
        <v>9500</v>
      </c>
      <c r="U35" s="15">
        <f t="shared" si="19"/>
        <v>2.375</v>
      </c>
      <c r="V35" s="116">
        <f t="shared" ref="V35:V40" si="20">SUM($V$23)*U35</f>
        <v>83.125</v>
      </c>
      <c r="Z35" s="337"/>
      <c r="AA35" s="338"/>
      <c r="AB35" s="338" t="s">
        <v>52</v>
      </c>
      <c r="AC35" s="339">
        <f>SUM(E17)</f>
        <v>10</v>
      </c>
      <c r="AD35" s="319" t="s">
        <v>108</v>
      </c>
      <c r="AE35" s="340">
        <f>SUM(AI16)</f>
        <v>14.452200000000003</v>
      </c>
      <c r="AF35" s="321"/>
    </row>
    <row r="36" spans="1:33" ht="15.75" thickBot="1" x14ac:dyDescent="0.3">
      <c r="A36" s="154" t="s">
        <v>109</v>
      </c>
      <c r="B36" s="155">
        <v>24.64</v>
      </c>
      <c r="C36" s="156">
        <f t="shared" si="10"/>
        <v>0.58551136363636358</v>
      </c>
      <c r="D36" s="156">
        <f t="shared" si="11"/>
        <v>427.42329545454538</v>
      </c>
      <c r="E36" s="157">
        <f t="shared" si="12"/>
        <v>1.7079087821445902</v>
      </c>
      <c r="F36" s="158">
        <v>225</v>
      </c>
      <c r="G36" s="159">
        <f t="shared" si="18"/>
        <v>0.61643835616438358</v>
      </c>
      <c r="H36" s="160">
        <f t="shared" si="15"/>
        <v>384.27947598253274</v>
      </c>
      <c r="I36" s="160">
        <f t="shared" si="16"/>
        <v>5544</v>
      </c>
      <c r="J36" s="161">
        <f t="shared" si="17"/>
        <v>2</v>
      </c>
      <c r="K36" s="162">
        <f t="shared" si="13"/>
        <v>192.13973799126637</v>
      </c>
      <c r="L36" s="143"/>
      <c r="M36" s="144"/>
      <c r="O36" s="15"/>
      <c r="P36" s="15"/>
      <c r="Q36" s="15"/>
      <c r="R36" s="15" t="s">
        <v>81</v>
      </c>
      <c r="S36" s="15"/>
      <c r="T36" s="15">
        <v>25300</v>
      </c>
      <c r="U36" s="15">
        <f t="shared" si="19"/>
        <v>6.3250000000000002</v>
      </c>
      <c r="V36" s="116">
        <f t="shared" si="20"/>
        <v>221.375</v>
      </c>
      <c r="Z36" s="326" t="s">
        <v>90</v>
      </c>
      <c r="AA36" s="341"/>
      <c r="AB36" s="341"/>
      <c r="AC36" s="327"/>
      <c r="AD36" s="327">
        <f>SUM(AD37:AD39)</f>
        <v>376</v>
      </c>
      <c r="AE36" s="324" t="s">
        <v>87</v>
      </c>
      <c r="AF36" s="325" t="s">
        <v>88</v>
      </c>
    </row>
    <row r="37" spans="1:33" x14ac:dyDescent="0.25">
      <c r="A37" s="133" t="s">
        <v>76</v>
      </c>
      <c r="B37" s="134">
        <v>26.82</v>
      </c>
      <c r="C37" s="163">
        <f t="shared" si="10"/>
        <v>0.53791946308724825</v>
      </c>
      <c r="D37" s="163">
        <f t="shared" si="11"/>
        <v>196.34060402684563</v>
      </c>
      <c r="E37" s="137">
        <f t="shared" si="12"/>
        <v>1.8590143480973176</v>
      </c>
      <c r="F37" s="138">
        <v>64</v>
      </c>
      <c r="G37" s="139">
        <f t="shared" si="18"/>
        <v>0.17534246575342466</v>
      </c>
      <c r="H37" s="140">
        <f t="shared" si="15"/>
        <v>118.97691827822833</v>
      </c>
      <c r="I37" s="140">
        <f t="shared" si="16"/>
        <v>1716.48</v>
      </c>
      <c r="J37" s="141">
        <f t="shared" si="17"/>
        <v>1</v>
      </c>
      <c r="K37" s="142">
        <f t="shared" si="13"/>
        <v>118.97691827822833</v>
      </c>
      <c r="L37" s="143">
        <f>SUM(F37:F41)</f>
        <v>3629</v>
      </c>
      <c r="M37" s="144"/>
      <c r="O37" s="15"/>
      <c r="P37" s="15"/>
      <c r="Q37" s="15"/>
      <c r="R37" s="15" t="s">
        <v>83</v>
      </c>
      <c r="S37" s="15"/>
      <c r="T37" s="15">
        <v>1200</v>
      </c>
      <c r="U37" s="15">
        <f t="shared" si="19"/>
        <v>0.3</v>
      </c>
      <c r="V37" s="116">
        <f t="shared" si="20"/>
        <v>10.5</v>
      </c>
      <c r="Z37" s="329" t="s">
        <v>95</v>
      </c>
      <c r="AA37" s="341"/>
      <c r="AB37" s="341"/>
      <c r="AC37" s="330"/>
      <c r="AD37" s="330">
        <v>170</v>
      </c>
      <c r="AE37" s="323">
        <f>SUM(AD37*$AE$35)</f>
        <v>2456.8740000000007</v>
      </c>
      <c r="AF37" s="331">
        <f>SUM(AE37)*365</f>
        <v>896759.01000000024</v>
      </c>
      <c r="AG37" s="164">
        <f>SUM(AE30/$AE$35)</f>
        <v>131.4346604669185</v>
      </c>
    </row>
    <row r="38" spans="1:33" x14ac:dyDescent="0.25">
      <c r="A38" s="145" t="s">
        <v>110</v>
      </c>
      <c r="B38" s="165">
        <v>32</v>
      </c>
      <c r="C38" s="147">
        <f t="shared" si="10"/>
        <v>0.45084374999999999</v>
      </c>
      <c r="D38" s="147">
        <f t="shared" si="11"/>
        <v>329.11593749999997</v>
      </c>
      <c r="E38" s="102">
        <f t="shared" si="12"/>
        <v>2.2180633534345326</v>
      </c>
      <c r="F38" s="148">
        <v>250</v>
      </c>
      <c r="G38" s="149">
        <f t="shared" si="18"/>
        <v>0.68493150684931503</v>
      </c>
      <c r="H38" s="150">
        <f t="shared" si="15"/>
        <v>554.51583835863312</v>
      </c>
      <c r="I38" s="150">
        <f t="shared" si="16"/>
        <v>8000</v>
      </c>
      <c r="J38" s="105">
        <f t="shared" si="17"/>
        <v>2</v>
      </c>
      <c r="K38" s="151">
        <f t="shared" si="13"/>
        <v>277.25791917931656</v>
      </c>
      <c r="L38" s="166"/>
      <c r="M38" s="144"/>
      <c r="O38" s="15"/>
      <c r="P38" s="15"/>
      <c r="Q38" s="15"/>
      <c r="R38" s="15" t="s">
        <v>86</v>
      </c>
      <c r="S38" s="15"/>
      <c r="T38" s="15">
        <v>4500</v>
      </c>
      <c r="U38" s="15">
        <f t="shared" si="19"/>
        <v>1.125</v>
      </c>
      <c r="V38" s="116">
        <f t="shared" si="20"/>
        <v>39.375</v>
      </c>
      <c r="Z38" s="329" t="s">
        <v>102</v>
      </c>
      <c r="AA38" s="341"/>
      <c r="AB38" s="341"/>
      <c r="AC38" s="330"/>
      <c r="AD38" s="330">
        <v>91</v>
      </c>
      <c r="AE38" s="323">
        <f t="shared" ref="AE38:AE39" si="21">SUM(AD38*$AE$35)</f>
        <v>1315.1502000000003</v>
      </c>
      <c r="AF38" s="331">
        <f>SUM(AE38)*365</f>
        <v>480029.82300000009</v>
      </c>
      <c r="AG38" s="164">
        <f>SUM(AE31/$AE$35)</f>
        <v>39.533081468565335</v>
      </c>
    </row>
    <row r="39" spans="1:33" x14ac:dyDescent="0.25">
      <c r="A39" s="145" t="s">
        <v>111</v>
      </c>
      <c r="B39" s="165">
        <v>33</v>
      </c>
      <c r="C39" s="167">
        <f t="shared" si="10"/>
        <v>0.43718181818181817</v>
      </c>
      <c r="D39" s="167">
        <f t="shared" si="11"/>
        <v>159.57136363636363</v>
      </c>
      <c r="E39" s="102">
        <f t="shared" si="12"/>
        <v>2.2873778332293617</v>
      </c>
      <c r="F39" s="148">
        <v>100</v>
      </c>
      <c r="G39" s="149">
        <f t="shared" si="18"/>
        <v>0.27397260273972601</v>
      </c>
      <c r="H39" s="150">
        <f t="shared" si="15"/>
        <v>228.73778332293617</v>
      </c>
      <c r="I39" s="150">
        <f t="shared" si="16"/>
        <v>3300</v>
      </c>
      <c r="J39" s="105">
        <f t="shared" si="17"/>
        <v>1</v>
      </c>
      <c r="K39" s="151">
        <f t="shared" si="13"/>
        <v>228.73778332293617</v>
      </c>
      <c r="L39" s="143"/>
      <c r="M39" s="144"/>
      <c r="O39" s="15"/>
      <c r="P39" s="15"/>
      <c r="Q39" s="15"/>
      <c r="R39" s="15" t="s">
        <v>89</v>
      </c>
      <c r="S39" s="15"/>
      <c r="T39" s="15">
        <v>12</v>
      </c>
      <c r="U39" s="15">
        <f t="shared" si="19"/>
        <v>3.0000000000000001E-3</v>
      </c>
      <c r="V39" s="101">
        <f t="shared" si="20"/>
        <v>0.105</v>
      </c>
      <c r="Z39" s="329" t="s">
        <v>104</v>
      </c>
      <c r="AA39" s="341"/>
      <c r="AB39" s="341"/>
      <c r="AC39" s="330"/>
      <c r="AD39" s="330">
        <v>115</v>
      </c>
      <c r="AE39" s="323">
        <f t="shared" si="21"/>
        <v>1662.0030000000004</v>
      </c>
      <c r="AF39" s="331">
        <f>SUM(AE39)*365</f>
        <v>606631.09500000009</v>
      </c>
      <c r="AG39" s="164">
        <f>SUM(AE32/$AE$35)</f>
        <v>51.855080887338936</v>
      </c>
    </row>
    <row r="40" spans="1:33" x14ac:dyDescent="0.25">
      <c r="A40" s="145" t="s">
        <v>112</v>
      </c>
      <c r="B40" s="146">
        <v>34.39</v>
      </c>
      <c r="C40" s="167">
        <f t="shared" si="10"/>
        <v>0.41951148589706311</v>
      </c>
      <c r="D40" s="167">
        <f t="shared" si="11"/>
        <v>3062.4338470485604</v>
      </c>
      <c r="E40" s="102">
        <f t="shared" si="12"/>
        <v>2.3837249601441743</v>
      </c>
      <c r="F40" s="148">
        <v>3011</v>
      </c>
      <c r="G40" s="149">
        <f t="shared" si="18"/>
        <v>8.24931506849315</v>
      </c>
      <c r="H40" s="150">
        <f t="shared" si="15"/>
        <v>7177.395854994109</v>
      </c>
      <c r="I40" s="150">
        <f t="shared" si="16"/>
        <v>103548.29000000001</v>
      </c>
      <c r="J40" s="105">
        <f t="shared" si="17"/>
        <v>20</v>
      </c>
      <c r="K40" s="151">
        <f t="shared" si="13"/>
        <v>358.86979274970548</v>
      </c>
      <c r="L40" s="166"/>
      <c r="M40" s="144"/>
      <c r="O40" s="15"/>
      <c r="P40" s="15"/>
      <c r="Q40" s="15"/>
      <c r="R40" s="15" t="s">
        <v>94</v>
      </c>
      <c r="S40" s="15"/>
      <c r="T40" s="15">
        <v>642</v>
      </c>
      <c r="U40" s="15">
        <f t="shared" si="19"/>
        <v>0.1605</v>
      </c>
      <c r="V40" s="116">
        <f t="shared" si="20"/>
        <v>5.6174999999999997</v>
      </c>
      <c r="Z40" s="342"/>
      <c r="AA40" s="341"/>
      <c r="AB40" s="341"/>
      <c r="AC40" s="323"/>
      <c r="AD40" s="323" t="s">
        <v>108</v>
      </c>
      <c r="AE40" s="343">
        <f>SUM(AI17)</f>
        <v>22.031700000000004</v>
      </c>
      <c r="AF40" s="325"/>
    </row>
    <row r="41" spans="1:33" ht="15.75" thickBot="1" x14ac:dyDescent="0.3">
      <c r="A41" s="145" t="s">
        <v>113</v>
      </c>
      <c r="B41" s="168">
        <v>36.49</v>
      </c>
      <c r="C41" s="169">
        <f t="shared" si="10"/>
        <v>0.3953685941353795</v>
      </c>
      <c r="D41" s="169">
        <f t="shared" si="11"/>
        <v>288.61907371882705</v>
      </c>
      <c r="E41" s="157">
        <f t="shared" si="12"/>
        <v>2.5292853677133156</v>
      </c>
      <c r="F41" s="158">
        <v>204</v>
      </c>
      <c r="G41" s="159">
        <f t="shared" si="18"/>
        <v>0.55890410958904113</v>
      </c>
      <c r="H41" s="160">
        <f t="shared" si="15"/>
        <v>515.9742150135163</v>
      </c>
      <c r="I41" s="160">
        <f t="shared" si="16"/>
        <v>7443.96</v>
      </c>
      <c r="J41" s="161">
        <f t="shared" si="17"/>
        <v>2</v>
      </c>
      <c r="K41" s="162">
        <f t="shared" si="13"/>
        <v>257.98710750675815</v>
      </c>
      <c r="L41" s="143"/>
      <c r="M41" s="144"/>
      <c r="O41" s="15"/>
      <c r="P41" s="15"/>
      <c r="Q41" s="15"/>
      <c r="R41" s="15"/>
      <c r="S41" s="15"/>
      <c r="T41" s="15"/>
      <c r="U41" s="15"/>
      <c r="Z41" s="326" t="s">
        <v>114</v>
      </c>
      <c r="AA41" s="341"/>
      <c r="AB41" s="341"/>
      <c r="AC41" s="327"/>
      <c r="AD41" s="327">
        <f>SUM(AD42:AD44)</f>
        <v>417</v>
      </c>
      <c r="AE41" s="324" t="s">
        <v>87</v>
      </c>
      <c r="AF41" s="325" t="s">
        <v>88</v>
      </c>
    </row>
    <row r="42" spans="1:33" x14ac:dyDescent="0.25">
      <c r="A42" s="133" t="s">
        <v>115</v>
      </c>
      <c r="B42" s="134">
        <v>43.04</v>
      </c>
      <c r="C42" s="163">
        <f t="shared" si="10"/>
        <v>0.33519981412639405</v>
      </c>
      <c r="D42" s="163">
        <f t="shared" si="11"/>
        <v>3058.6983039033457</v>
      </c>
      <c r="E42" s="137">
        <f t="shared" si="12"/>
        <v>2.9832952103694463</v>
      </c>
      <c r="F42" s="138">
        <v>3013</v>
      </c>
      <c r="G42" s="139">
        <f t="shared" si="18"/>
        <v>8.2547945205479447</v>
      </c>
      <c r="H42" s="140">
        <f t="shared" si="15"/>
        <v>8988.6684688431415</v>
      </c>
      <c r="I42" s="140">
        <f t="shared" si="16"/>
        <v>129679.52</v>
      </c>
      <c r="J42" s="141">
        <f t="shared" si="17"/>
        <v>25</v>
      </c>
      <c r="K42" s="142">
        <f t="shared" si="13"/>
        <v>359.54673875372566</v>
      </c>
      <c r="L42" s="143">
        <f>SUM(F42:F46)</f>
        <v>3822</v>
      </c>
      <c r="M42" s="144"/>
      <c r="O42" s="15"/>
      <c r="P42" s="15"/>
      <c r="Q42" s="15"/>
      <c r="R42" s="15"/>
      <c r="S42" s="15"/>
      <c r="T42" s="15"/>
      <c r="U42" s="15"/>
      <c r="Z42" s="329" t="s">
        <v>95</v>
      </c>
      <c r="AA42" s="341"/>
      <c r="AB42" s="341"/>
      <c r="AC42" s="330"/>
      <c r="AD42" s="330">
        <v>177</v>
      </c>
      <c r="AE42" s="323">
        <f>SUM(AD42*$AE$40)</f>
        <v>3899.6109000000006</v>
      </c>
      <c r="AF42" s="331">
        <f>SUM(AE42)*365</f>
        <v>1423357.9785000002</v>
      </c>
      <c r="AG42" s="164"/>
    </row>
    <row r="43" spans="1:33" x14ac:dyDescent="0.25">
      <c r="A43" s="145" t="s">
        <v>116</v>
      </c>
      <c r="B43" s="146">
        <v>32.46</v>
      </c>
      <c r="C43" s="167">
        <f t="shared" si="10"/>
        <v>0.4444547134935305</v>
      </c>
      <c r="D43" s="167">
        <f t="shared" si="11"/>
        <v>162.22597042513863</v>
      </c>
      <c r="E43" s="102">
        <f t="shared" si="12"/>
        <v>2.2499480141401542</v>
      </c>
      <c r="F43" s="148">
        <v>30</v>
      </c>
      <c r="G43" s="149">
        <f t="shared" si="18"/>
        <v>8.2191780821917804E-2</v>
      </c>
      <c r="H43" s="150">
        <f t="shared" si="15"/>
        <v>67.498440424204617</v>
      </c>
      <c r="I43" s="150">
        <f t="shared" si="16"/>
        <v>973.80000000000007</v>
      </c>
      <c r="J43" s="105">
        <f t="shared" si="17"/>
        <v>1</v>
      </c>
      <c r="K43" s="151">
        <f t="shared" si="13"/>
        <v>67.498440424204617</v>
      </c>
      <c r="L43" s="166"/>
      <c r="M43" s="144"/>
      <c r="O43" s="15"/>
      <c r="P43" s="15"/>
      <c r="Q43" s="15"/>
      <c r="R43" s="15"/>
      <c r="S43" s="15"/>
      <c r="T43" s="15"/>
      <c r="U43" s="15"/>
      <c r="Z43" s="329" t="s">
        <v>102</v>
      </c>
      <c r="AA43" s="341"/>
      <c r="AB43" s="341"/>
      <c r="AC43" s="330"/>
      <c r="AD43" s="330">
        <v>96</v>
      </c>
      <c r="AE43" s="323">
        <f t="shared" ref="AE43:AE44" si="22">SUM(AD43*$AE$40)</f>
        <v>2115.0432000000005</v>
      </c>
      <c r="AF43" s="331">
        <f>SUM(AE43)*365</f>
        <v>771990.76800000016</v>
      </c>
      <c r="AG43" s="164"/>
    </row>
    <row r="44" spans="1:33" ht="15.75" thickBot="1" x14ac:dyDescent="0.3">
      <c r="A44" s="145" t="s">
        <v>117</v>
      </c>
      <c r="B44" s="165">
        <v>45</v>
      </c>
      <c r="C44" s="147">
        <f t="shared" si="10"/>
        <v>0.3206</v>
      </c>
      <c r="D44" s="147">
        <f t="shared" si="11"/>
        <v>117.01899999999999</v>
      </c>
      <c r="E44" s="102">
        <f t="shared" si="12"/>
        <v>3.1191515907673115</v>
      </c>
      <c r="F44" s="148">
        <v>66</v>
      </c>
      <c r="G44" s="149">
        <f t="shared" si="18"/>
        <v>0.18082191780821918</v>
      </c>
      <c r="H44" s="150">
        <f t="shared" si="15"/>
        <v>205.86400499064254</v>
      </c>
      <c r="I44" s="150">
        <f t="shared" si="16"/>
        <v>2970</v>
      </c>
      <c r="J44" s="105">
        <f t="shared" si="17"/>
        <v>1</v>
      </c>
      <c r="K44" s="151">
        <f t="shared" si="13"/>
        <v>205.86400499064254</v>
      </c>
      <c r="L44" s="166"/>
      <c r="M44" s="144"/>
      <c r="O44" s="15"/>
      <c r="P44" s="15"/>
      <c r="Q44" s="15"/>
      <c r="R44" s="15"/>
      <c r="S44" s="15"/>
      <c r="T44" s="15"/>
      <c r="U44" s="15"/>
      <c r="Z44" s="332" t="s">
        <v>104</v>
      </c>
      <c r="AA44" s="344"/>
      <c r="AB44" s="344"/>
      <c r="AC44" s="334"/>
      <c r="AD44" s="334">
        <v>144</v>
      </c>
      <c r="AE44" s="333">
        <f t="shared" si="22"/>
        <v>3172.5648000000006</v>
      </c>
      <c r="AF44" s="335">
        <f>SUM(AE44)*365</f>
        <v>1157986.1520000002</v>
      </c>
      <c r="AG44" s="164"/>
    </row>
    <row r="45" spans="1:33" x14ac:dyDescent="0.25">
      <c r="A45" s="145" t="s">
        <v>118</v>
      </c>
      <c r="B45" s="146">
        <v>37.619999999999997</v>
      </c>
      <c r="C45" s="167">
        <f t="shared" si="10"/>
        <v>0.38349282296650722</v>
      </c>
      <c r="D45" s="167">
        <f t="shared" si="11"/>
        <v>419.92464114832535</v>
      </c>
      <c r="E45" s="102">
        <f t="shared" si="12"/>
        <v>2.6076107298814724</v>
      </c>
      <c r="F45" s="148">
        <v>345</v>
      </c>
      <c r="G45" s="149">
        <f t="shared" si="18"/>
        <v>0.9452054794520548</v>
      </c>
      <c r="H45" s="150">
        <f t="shared" si="15"/>
        <v>899.62570180910791</v>
      </c>
      <c r="I45" s="150">
        <f t="shared" si="16"/>
        <v>12978.9</v>
      </c>
      <c r="J45" s="105">
        <f t="shared" si="17"/>
        <v>3</v>
      </c>
      <c r="K45" s="151">
        <f t="shared" si="13"/>
        <v>299.87523393636928</v>
      </c>
      <c r="L45" s="166"/>
      <c r="M45" s="144"/>
      <c r="O45" s="15"/>
      <c r="P45" s="15"/>
      <c r="Q45" s="15"/>
      <c r="R45" s="15"/>
      <c r="S45" s="15"/>
      <c r="T45" s="15"/>
      <c r="X45" s="34" t="s">
        <v>119</v>
      </c>
    </row>
    <row r="46" spans="1:33" ht="15.75" thickBot="1" x14ac:dyDescent="0.3">
      <c r="A46" s="145" t="s">
        <v>120</v>
      </c>
      <c r="B46" s="146">
        <v>34.96</v>
      </c>
      <c r="C46" s="167">
        <f t="shared" si="10"/>
        <v>0.4126716247139588</v>
      </c>
      <c r="D46" s="167">
        <f t="shared" si="11"/>
        <v>451.87542906178487</v>
      </c>
      <c r="E46" s="102">
        <f t="shared" si="12"/>
        <v>2.4232342136272269</v>
      </c>
      <c r="F46" s="148">
        <v>368</v>
      </c>
      <c r="G46" s="149">
        <f t="shared" si="18"/>
        <v>1.0082191780821919</v>
      </c>
      <c r="H46" s="150">
        <f t="shared" si="15"/>
        <v>891.75019061481953</v>
      </c>
      <c r="I46" s="150">
        <f t="shared" si="16"/>
        <v>12865.28</v>
      </c>
      <c r="J46" s="105">
        <f t="shared" si="17"/>
        <v>3</v>
      </c>
      <c r="K46" s="151">
        <f t="shared" si="13"/>
        <v>297.2500635382732</v>
      </c>
      <c r="L46" s="143"/>
      <c r="M46" s="144"/>
      <c r="O46" s="15"/>
      <c r="P46" s="15"/>
      <c r="Q46" s="15"/>
      <c r="R46" s="91" t="s">
        <v>121</v>
      </c>
      <c r="S46" s="91"/>
      <c r="T46" s="91" t="s">
        <v>122</v>
      </c>
      <c r="U46" s="91" t="s">
        <v>123</v>
      </c>
      <c r="V46" s="91" t="s">
        <v>124</v>
      </c>
      <c r="W46" s="91" t="s">
        <v>125</v>
      </c>
      <c r="X46" s="91" t="s">
        <v>126</v>
      </c>
      <c r="Y46" s="170" t="s">
        <v>66</v>
      </c>
      <c r="AC46" s="22" t="s">
        <v>66</v>
      </c>
    </row>
    <row r="47" spans="1:33" x14ac:dyDescent="0.25">
      <c r="A47" s="133" t="s">
        <v>80</v>
      </c>
      <c r="B47" s="171">
        <v>46.47</v>
      </c>
      <c r="C47" s="163">
        <f t="shared" si="10"/>
        <v>0.31045836023240803</v>
      </c>
      <c r="D47" s="163">
        <f t="shared" si="11"/>
        <v>1926.3941252420914</v>
      </c>
      <c r="E47" s="137">
        <f t="shared" si="12"/>
        <v>3.2210438760657101</v>
      </c>
      <c r="F47" s="138">
        <v>1848</v>
      </c>
      <c r="G47" s="139">
        <f t="shared" si="18"/>
        <v>5.0630136986301366</v>
      </c>
      <c r="H47" s="140">
        <f t="shared" si="15"/>
        <v>5952.4890829694323</v>
      </c>
      <c r="I47" s="140">
        <f t="shared" si="16"/>
        <v>85876.56</v>
      </c>
      <c r="J47" s="141">
        <f t="shared" si="17"/>
        <v>17</v>
      </c>
      <c r="K47" s="142">
        <f t="shared" si="13"/>
        <v>350.14641664526073</v>
      </c>
      <c r="L47" s="143">
        <f>SUM(F47:F48)</f>
        <v>1849</v>
      </c>
      <c r="M47" s="144"/>
      <c r="O47" s="15"/>
      <c r="P47" s="15"/>
      <c r="Q47" s="15" t="s">
        <v>92</v>
      </c>
      <c r="R47" s="103">
        <v>8000</v>
      </c>
      <c r="S47" s="15">
        <v>3.2</v>
      </c>
      <c r="T47" s="15">
        <v>12</v>
      </c>
      <c r="U47" s="15">
        <f>SUM(S47*T47)</f>
        <v>38.400000000000006</v>
      </c>
      <c r="V47" s="172">
        <v>0.625</v>
      </c>
      <c r="W47" s="173">
        <v>1.5</v>
      </c>
      <c r="X47" s="173">
        <f>SUM((U47)+(U47*V47))*W47</f>
        <v>93.600000000000009</v>
      </c>
      <c r="Y47" s="144">
        <f>SUM(R47/X47)</f>
        <v>85.470085470085465</v>
      </c>
      <c r="AA47" s="174">
        <v>13150</v>
      </c>
      <c r="AB47" s="174">
        <v>13237</v>
      </c>
      <c r="AC47" s="15">
        <f>SUM(AB47-AA47)</f>
        <v>87</v>
      </c>
      <c r="AE47" s="120"/>
    </row>
    <row r="48" spans="1:33" ht="15.75" thickBot="1" x14ac:dyDescent="0.3">
      <c r="A48" s="154" t="s">
        <v>127</v>
      </c>
      <c r="B48" s="175">
        <v>39</v>
      </c>
      <c r="C48" s="169">
        <f t="shared" si="10"/>
        <v>0.36992307692307691</v>
      </c>
      <c r="D48" s="169">
        <f t="shared" si="11"/>
        <v>135.02192307692306</v>
      </c>
      <c r="E48" s="157">
        <f t="shared" si="12"/>
        <v>2.7032647119983366</v>
      </c>
      <c r="F48" s="158">
        <v>1</v>
      </c>
      <c r="G48" s="159">
        <f t="shared" si="18"/>
        <v>2.7397260273972603E-3</v>
      </c>
      <c r="H48" s="160">
        <f t="shared" si="15"/>
        <v>2.7032647119983366</v>
      </c>
      <c r="I48" s="160">
        <f t="shared" si="16"/>
        <v>39</v>
      </c>
      <c r="J48" s="161">
        <f t="shared" si="17"/>
        <v>1</v>
      </c>
      <c r="K48" s="162">
        <f t="shared" si="13"/>
        <v>2.7032647119983366</v>
      </c>
      <c r="L48" s="143"/>
      <c r="M48" s="144"/>
      <c r="N48" s="15"/>
      <c r="O48" s="15"/>
      <c r="P48" s="15"/>
      <c r="Q48" s="15" t="s">
        <v>128</v>
      </c>
      <c r="R48" s="103">
        <v>20000</v>
      </c>
      <c r="S48" s="15">
        <v>3.2</v>
      </c>
      <c r="T48" s="15">
        <v>12</v>
      </c>
      <c r="U48" s="15">
        <f>SUM(S48*T48)</f>
        <v>38.400000000000006</v>
      </c>
      <c r="W48" s="176"/>
      <c r="X48" s="176">
        <v>58.4</v>
      </c>
      <c r="Y48" s="144">
        <f t="shared" ref="Y48:Y49" si="23">SUM(R48/X48)</f>
        <v>342.46575342465752</v>
      </c>
      <c r="AA48" s="174"/>
      <c r="AB48" s="174"/>
      <c r="AC48" s="15"/>
      <c r="AE48" s="120"/>
    </row>
    <row r="49" spans="1:31" ht="15.75" thickBot="1" x14ac:dyDescent="0.3">
      <c r="A49" s="133" t="s">
        <v>82</v>
      </c>
      <c r="B49" s="134">
        <v>57.75</v>
      </c>
      <c r="C49" s="163">
        <f t="shared" si="10"/>
        <v>0.2498181818181818</v>
      </c>
      <c r="D49" s="163">
        <f t="shared" si="11"/>
        <v>729.46909090909082</v>
      </c>
      <c r="E49" s="137">
        <f t="shared" si="12"/>
        <v>4.0029112081513833</v>
      </c>
      <c r="F49" s="138">
        <v>649</v>
      </c>
      <c r="G49" s="139">
        <f t="shared" si="18"/>
        <v>1.7780821917808218</v>
      </c>
      <c r="H49" s="140">
        <f t="shared" si="15"/>
        <v>2597.8893740902477</v>
      </c>
      <c r="I49" s="140">
        <f t="shared" si="16"/>
        <v>37479.75</v>
      </c>
      <c r="J49" s="141">
        <f t="shared" si="17"/>
        <v>8</v>
      </c>
      <c r="K49" s="142">
        <f t="shared" si="13"/>
        <v>324.73617176128096</v>
      </c>
      <c r="L49" s="143">
        <f>SUM(F49:F49)</f>
        <v>649</v>
      </c>
      <c r="M49" s="144"/>
      <c r="N49" s="22"/>
      <c r="O49" s="15"/>
      <c r="P49" s="15"/>
      <c r="Q49" s="15" t="s">
        <v>129</v>
      </c>
      <c r="R49" s="103">
        <v>1500</v>
      </c>
      <c r="S49" s="15">
        <v>3.2</v>
      </c>
      <c r="T49" s="15">
        <v>12</v>
      </c>
      <c r="U49" s="15">
        <f>SUM(S49*T49)</f>
        <v>38.400000000000006</v>
      </c>
      <c r="W49" s="176"/>
      <c r="X49" s="176">
        <v>58.4</v>
      </c>
      <c r="Y49" s="144">
        <f t="shared" si="23"/>
        <v>25.684931506849317</v>
      </c>
      <c r="AA49" s="174"/>
      <c r="AB49" s="174"/>
      <c r="AC49" s="15"/>
      <c r="AE49" s="120"/>
    </row>
    <row r="50" spans="1:31" ht="15.75" thickBot="1" x14ac:dyDescent="0.3">
      <c r="A50" s="177" t="s">
        <v>130</v>
      </c>
      <c r="B50" s="178">
        <v>60</v>
      </c>
      <c r="C50" s="179">
        <f t="shared" si="10"/>
        <v>0.24045</v>
      </c>
      <c r="D50" s="179">
        <f t="shared" si="11"/>
        <v>175.52849999999998</v>
      </c>
      <c r="E50" s="180">
        <f t="shared" si="12"/>
        <v>4.1588687876897481</v>
      </c>
      <c r="F50" s="181">
        <v>90</v>
      </c>
      <c r="G50" s="182">
        <f t="shared" si="18"/>
        <v>0.24657534246575341</v>
      </c>
      <c r="H50" s="183">
        <f t="shared" si="15"/>
        <v>374.29819089207734</v>
      </c>
      <c r="I50" s="183">
        <f t="shared" si="16"/>
        <v>5400</v>
      </c>
      <c r="J50" s="184">
        <f t="shared" si="17"/>
        <v>2</v>
      </c>
      <c r="K50" s="185">
        <f t="shared" si="13"/>
        <v>187.14909544603867</v>
      </c>
      <c r="L50" s="143">
        <f>SUM(F50:F50)</f>
        <v>90</v>
      </c>
      <c r="M50" s="144"/>
      <c r="O50" s="15"/>
      <c r="P50" s="15"/>
    </row>
    <row r="51" spans="1:31" ht="15.75" thickBot="1" x14ac:dyDescent="0.3">
      <c r="A51" s="177" t="s">
        <v>85</v>
      </c>
      <c r="B51" s="178">
        <v>100</v>
      </c>
      <c r="C51" s="179">
        <f t="shared" si="10"/>
        <v>0.14427000000000001</v>
      </c>
      <c r="D51" s="179">
        <f t="shared" si="11"/>
        <v>52.658549999999998</v>
      </c>
      <c r="E51" s="180">
        <f t="shared" si="12"/>
        <v>6.9314479794829138</v>
      </c>
      <c r="F51" s="181">
        <v>1</v>
      </c>
      <c r="G51" s="182">
        <f t="shared" si="18"/>
        <v>2.7397260273972603E-3</v>
      </c>
      <c r="H51" s="183">
        <f t="shared" si="15"/>
        <v>6.9314479794829138</v>
      </c>
      <c r="I51" s="183">
        <f t="shared" si="16"/>
        <v>100</v>
      </c>
      <c r="J51" s="184">
        <f t="shared" si="17"/>
        <v>1</v>
      </c>
      <c r="K51" s="185">
        <f t="shared" si="13"/>
        <v>6.9314479794829138</v>
      </c>
      <c r="L51" s="143">
        <f>SUM(F51:F51)</f>
        <v>1</v>
      </c>
      <c r="M51" s="144"/>
      <c r="O51" s="144"/>
      <c r="P51" s="15"/>
      <c r="Q51" s="15" t="s">
        <v>92</v>
      </c>
      <c r="R51" s="103">
        <v>8000</v>
      </c>
      <c r="S51" s="15">
        <v>4.5999999999999996</v>
      </c>
      <c r="T51" s="15">
        <v>12</v>
      </c>
      <c r="U51" s="15">
        <f>SUM(S51*T51)</f>
        <v>55.199999999999996</v>
      </c>
      <c r="V51" s="172">
        <v>0.625</v>
      </c>
      <c r="W51" s="173">
        <v>1.5</v>
      </c>
      <c r="X51" s="173">
        <f>SUM((U51)+(U51*V51))*W51</f>
        <v>134.54999999999998</v>
      </c>
      <c r="Y51" s="144">
        <f>SUM(R51/X51)</f>
        <v>59.457450761798597</v>
      </c>
      <c r="AA51" s="174">
        <v>13150</v>
      </c>
      <c r="AB51" s="174">
        <f>SUM(AA51+Y51)</f>
        <v>13209.457450761798</v>
      </c>
      <c r="AC51" s="144">
        <f>SUM(AB51-AA51)</f>
        <v>59.4574507617981</v>
      </c>
      <c r="AE51" s="120"/>
    </row>
    <row r="52" spans="1:31" x14ac:dyDescent="0.25">
      <c r="B52" s="15"/>
      <c r="C52" s="186"/>
      <c r="D52" s="116">
        <f>SUM(D32:D51)</f>
        <v>13601.074433620779</v>
      </c>
      <c r="E52" s="102"/>
      <c r="F52" s="103">
        <f>SUM(F33:F51)</f>
        <v>11774</v>
      </c>
      <c r="G52" s="187">
        <f>SUM(G33:G51)</f>
        <v>32.257534246575354</v>
      </c>
      <c r="H52" s="188"/>
      <c r="I52" s="189">
        <f>SUM(I33:I51)</f>
        <v>455153.06000000006</v>
      </c>
      <c r="J52" s="190">
        <f>SUM(J37:J51)</f>
        <v>88</v>
      </c>
      <c r="K52" s="191"/>
      <c r="M52" s="122"/>
      <c r="O52" s="15"/>
      <c r="P52" s="128"/>
      <c r="Q52" s="15" t="s">
        <v>92</v>
      </c>
      <c r="R52" s="103">
        <v>8000</v>
      </c>
      <c r="S52" s="15">
        <v>3.6</v>
      </c>
      <c r="T52" s="15">
        <v>12</v>
      </c>
      <c r="U52" s="15">
        <f>SUM(S52*T52)</f>
        <v>43.2</v>
      </c>
      <c r="V52" s="172">
        <v>0.625</v>
      </c>
      <c r="W52" s="173">
        <v>1.5</v>
      </c>
      <c r="X52" s="173">
        <f>SUM((U52)+(U52*V52))*W52</f>
        <v>105.30000000000001</v>
      </c>
      <c r="Y52" s="144">
        <f>SUM(R52/X52)</f>
        <v>75.973409306742639</v>
      </c>
      <c r="AA52" s="174">
        <v>13150</v>
      </c>
      <c r="AB52" s="174">
        <f>SUM(AA52+Y52)</f>
        <v>13225.973409306742</v>
      </c>
      <c r="AC52" s="144">
        <f>SUM(AB52-AA52)</f>
        <v>75.973409306741814</v>
      </c>
    </row>
    <row r="53" spans="1:31" x14ac:dyDescent="0.25">
      <c r="O53" s="22"/>
      <c r="P53" s="15"/>
      <c r="Q53" s="15" t="s">
        <v>92</v>
      </c>
      <c r="R53" s="103">
        <v>8000</v>
      </c>
      <c r="S53" s="15">
        <v>4</v>
      </c>
      <c r="T53" s="15">
        <v>12</v>
      </c>
      <c r="U53" s="15">
        <f>SUM(S53*T53)</f>
        <v>48</v>
      </c>
      <c r="V53" s="172">
        <v>0.625</v>
      </c>
      <c r="W53" s="173">
        <v>1.5</v>
      </c>
      <c r="X53" s="173">
        <f>SUM((U53)+(U53*V53))*W53</f>
        <v>117</v>
      </c>
      <c r="Y53" s="144">
        <f>SUM(R53/X53)</f>
        <v>68.376068376068375</v>
      </c>
      <c r="AA53" s="174">
        <v>13150</v>
      </c>
      <c r="AB53" s="174">
        <f>SUM(AA53+Y53)</f>
        <v>13218.376068376068</v>
      </c>
      <c r="AC53" s="144">
        <f>SUM(AB53-AA53)</f>
        <v>68.376068376068361</v>
      </c>
    </row>
    <row r="54" spans="1:31" x14ac:dyDescent="0.25">
      <c r="A54" s="125">
        <v>1944</v>
      </c>
      <c r="B54" s="122" t="s">
        <v>91</v>
      </c>
      <c r="C54" s="122"/>
      <c r="D54" s="122"/>
      <c r="E54" s="102" t="s">
        <v>92</v>
      </c>
      <c r="F54" s="126" t="s">
        <v>93</v>
      </c>
      <c r="G54" s="127"/>
      <c r="H54" s="122" t="s">
        <v>91</v>
      </c>
      <c r="I54" s="122"/>
      <c r="J54" s="122"/>
      <c r="K54" s="107"/>
      <c r="L54" s="15"/>
      <c r="M54" s="15"/>
      <c r="N54" s="15"/>
      <c r="P54" s="15"/>
      <c r="Q54" s="15" t="s">
        <v>92</v>
      </c>
      <c r="R54" s="103">
        <v>8000</v>
      </c>
      <c r="S54" s="15">
        <v>4.2</v>
      </c>
      <c r="T54" s="15">
        <v>12</v>
      </c>
      <c r="U54" s="15">
        <f>SUM(S54*T54)</f>
        <v>50.400000000000006</v>
      </c>
      <c r="V54" s="172">
        <v>0.625</v>
      </c>
      <c r="W54" s="173">
        <v>1.5</v>
      </c>
      <c r="X54" s="173">
        <f>SUM((U54)+(U54*V54))*W54</f>
        <v>122.85000000000001</v>
      </c>
      <c r="Y54" s="144">
        <f>SUM(R54/X54)</f>
        <v>65.120065120065121</v>
      </c>
      <c r="AA54" s="174">
        <v>13150</v>
      </c>
      <c r="AB54" s="174">
        <f>SUM(AA54+Y54)</f>
        <v>13215.120065120065</v>
      </c>
      <c r="AC54" s="144">
        <f>SUM(AB54-AA54)</f>
        <v>65.120065120065192</v>
      </c>
    </row>
    <row r="55" spans="1:31" ht="15.75" thickBot="1" x14ac:dyDescent="0.3">
      <c r="B55" s="129" t="s">
        <v>96</v>
      </c>
      <c r="C55" s="129" t="s">
        <v>97</v>
      </c>
      <c r="D55" s="129" t="s">
        <v>98</v>
      </c>
      <c r="E55" s="91" t="s">
        <v>61</v>
      </c>
      <c r="F55" s="99" t="s">
        <v>62</v>
      </c>
      <c r="G55" s="99" t="s">
        <v>99</v>
      </c>
      <c r="H55" s="129" t="s">
        <v>63</v>
      </c>
      <c r="I55" s="130" t="s">
        <v>100</v>
      </c>
      <c r="J55" s="100" t="s">
        <v>64</v>
      </c>
      <c r="K55" s="91" t="s">
        <v>66</v>
      </c>
      <c r="L55" s="131" t="s">
        <v>101</v>
      </c>
      <c r="M55" s="132"/>
      <c r="P55" s="15"/>
    </row>
    <row r="56" spans="1:31" ht="15.75" thickBot="1" x14ac:dyDescent="0.3">
      <c r="A56" s="177" t="s">
        <v>105</v>
      </c>
      <c r="B56" s="192">
        <v>24.64</v>
      </c>
      <c r="C56" s="193">
        <f t="shared" ref="C56:C76" si="24">SUM($H$17/B56)</f>
        <v>0.58551136363636358</v>
      </c>
      <c r="D56" s="194">
        <f>SUM(($H$17*J56*365)/B56)</f>
        <v>213.71164772727269</v>
      </c>
      <c r="E56" s="180">
        <f t="shared" ref="E56:E76" si="25">SUM(B56/$H$17)</f>
        <v>1.7079087821445902</v>
      </c>
      <c r="F56" s="181">
        <v>144</v>
      </c>
      <c r="G56" s="182">
        <f t="shared" ref="G56:G76" si="26">SUM(F56/365)</f>
        <v>0.39452054794520547</v>
      </c>
      <c r="H56" s="183">
        <f t="shared" ref="H56:H76" si="27">SUM(F56*B56)/$H$17</f>
        <v>245.93886462882097</v>
      </c>
      <c r="I56" s="183">
        <f t="shared" ref="I56:I76" si="28">SUM(B56*F56)</f>
        <v>3548.16</v>
      </c>
      <c r="J56" s="184">
        <f t="shared" ref="J56:J76" si="29">ROUNDUP(((F56*B56)/$H$17)/365,0)</f>
        <v>1</v>
      </c>
      <c r="K56" s="185">
        <f t="shared" ref="K56:K76" si="30">SUM((F56*B56)/($H$17*J56))</f>
        <v>245.93886462882097</v>
      </c>
      <c r="L56" s="143">
        <f>SUM(F56)</f>
        <v>144</v>
      </c>
      <c r="M56" s="144"/>
      <c r="P56" s="15"/>
    </row>
    <row r="57" spans="1:31" x14ac:dyDescent="0.25">
      <c r="A57" s="133" t="s">
        <v>131</v>
      </c>
      <c r="B57" s="152">
        <v>30</v>
      </c>
      <c r="C57" s="153">
        <f t="shared" si="24"/>
        <v>0.48089999999999999</v>
      </c>
      <c r="D57" s="195">
        <f t="shared" ref="D57:D76" si="31">SUM(($H$17*J57*365)/B57)</f>
        <v>1755.2849999999999</v>
      </c>
      <c r="E57" s="137">
        <f t="shared" si="25"/>
        <v>2.0794343938448741</v>
      </c>
      <c r="F57" s="138">
        <v>1687</v>
      </c>
      <c r="G57" s="139">
        <f t="shared" si="26"/>
        <v>4.6219178082191785</v>
      </c>
      <c r="H57" s="140">
        <f t="shared" si="27"/>
        <v>3508.0058224163026</v>
      </c>
      <c r="I57" s="140">
        <f t="shared" si="28"/>
        <v>50610</v>
      </c>
      <c r="J57" s="141">
        <f t="shared" si="29"/>
        <v>10</v>
      </c>
      <c r="K57" s="142">
        <f t="shared" si="30"/>
        <v>350.80058224163031</v>
      </c>
      <c r="L57" s="143">
        <f>SUM(F57:F59)</f>
        <v>2356</v>
      </c>
      <c r="M57" s="144"/>
      <c r="P57" s="15"/>
      <c r="Q57" s="123" t="s">
        <v>2</v>
      </c>
    </row>
    <row r="58" spans="1:31" x14ac:dyDescent="0.25">
      <c r="A58" s="145" t="s">
        <v>107</v>
      </c>
      <c r="B58" s="165">
        <v>26</v>
      </c>
      <c r="C58" s="147">
        <f t="shared" si="24"/>
        <v>0.55488461538461542</v>
      </c>
      <c r="D58" s="196">
        <f t="shared" si="31"/>
        <v>405.06576923076921</v>
      </c>
      <c r="E58" s="102">
        <f t="shared" si="25"/>
        <v>1.8021764746655577</v>
      </c>
      <c r="F58" s="148">
        <v>323</v>
      </c>
      <c r="G58" s="149">
        <f t="shared" si="26"/>
        <v>0.8849315068493151</v>
      </c>
      <c r="H58" s="150">
        <f t="shared" si="27"/>
        <v>582.10300131697511</v>
      </c>
      <c r="I58" s="150">
        <f t="shared" si="28"/>
        <v>8398</v>
      </c>
      <c r="J58" s="105">
        <f t="shared" si="29"/>
        <v>2</v>
      </c>
      <c r="K58" s="151">
        <f t="shared" si="30"/>
        <v>291.05150065848756</v>
      </c>
      <c r="L58" s="197"/>
      <c r="M58" s="144"/>
      <c r="P58" s="15"/>
      <c r="Q58" s="128" t="s">
        <v>132</v>
      </c>
      <c r="R58" s="15"/>
      <c r="S58" s="15"/>
      <c r="T58" s="198">
        <v>2.5</v>
      </c>
      <c r="U58" s="15"/>
      <c r="W58" s="124">
        <v>3.2</v>
      </c>
      <c r="Z58" s="199">
        <v>3.2</v>
      </c>
    </row>
    <row r="59" spans="1:31" ht="15.75" thickBot="1" x14ac:dyDescent="0.3">
      <c r="A59" s="154" t="s">
        <v>109</v>
      </c>
      <c r="B59" s="155">
        <v>24.64</v>
      </c>
      <c r="C59" s="156">
        <f t="shared" si="24"/>
        <v>0.58551136363636358</v>
      </c>
      <c r="D59" s="200">
        <f t="shared" si="31"/>
        <v>427.42329545454538</v>
      </c>
      <c r="E59" s="157">
        <f t="shared" si="25"/>
        <v>1.7079087821445902</v>
      </c>
      <c r="F59" s="158">
        <v>346</v>
      </c>
      <c r="G59" s="159">
        <f t="shared" si="26"/>
        <v>0.94794520547945205</v>
      </c>
      <c r="H59" s="160">
        <f t="shared" si="27"/>
        <v>590.93643862202816</v>
      </c>
      <c r="I59" s="160">
        <f t="shared" si="28"/>
        <v>8525.44</v>
      </c>
      <c r="J59" s="161">
        <f t="shared" si="29"/>
        <v>2</v>
      </c>
      <c r="K59" s="162">
        <f t="shared" si="30"/>
        <v>295.46821931101408</v>
      </c>
      <c r="L59" s="166"/>
      <c r="M59" s="144"/>
      <c r="P59" s="15"/>
      <c r="Q59" s="15"/>
      <c r="R59" s="15"/>
      <c r="S59" s="15"/>
      <c r="T59" s="15" t="s">
        <v>133</v>
      </c>
      <c r="U59" s="15"/>
      <c r="W59" s="15" t="s">
        <v>134</v>
      </c>
      <c r="Z59" s="15" t="s">
        <v>135</v>
      </c>
    </row>
    <row r="60" spans="1:31" x14ac:dyDescent="0.25">
      <c r="A60" s="133" t="s">
        <v>112</v>
      </c>
      <c r="B60" s="134">
        <v>34.39</v>
      </c>
      <c r="C60" s="163">
        <f t="shared" si="24"/>
        <v>0.41951148589706311</v>
      </c>
      <c r="D60" s="201">
        <f t="shared" si="31"/>
        <v>3981.1640011631284</v>
      </c>
      <c r="E60" s="137">
        <f t="shared" si="25"/>
        <v>2.3837249601441743</v>
      </c>
      <c r="F60" s="138">
        <v>3849</v>
      </c>
      <c r="G60" s="139">
        <f t="shared" si="26"/>
        <v>10.545205479452054</v>
      </c>
      <c r="H60" s="140">
        <f t="shared" si="27"/>
        <v>9174.9573715949282</v>
      </c>
      <c r="I60" s="140">
        <f t="shared" si="28"/>
        <v>132367.11000000002</v>
      </c>
      <c r="J60" s="141">
        <f t="shared" si="29"/>
        <v>26</v>
      </c>
      <c r="K60" s="142">
        <f t="shared" si="30"/>
        <v>352.88297583057414</v>
      </c>
      <c r="L60" s="143">
        <f>SUM(F60:F61)</f>
        <v>4752</v>
      </c>
      <c r="M60" s="144"/>
      <c r="P60" s="15"/>
      <c r="Q60" s="15"/>
      <c r="R60" s="15"/>
      <c r="S60" s="15"/>
      <c r="T60" s="15" t="s">
        <v>136</v>
      </c>
      <c r="U60" s="15" t="s">
        <v>137</v>
      </c>
      <c r="V60" s="202"/>
      <c r="W60" s="15" t="s">
        <v>136</v>
      </c>
      <c r="X60" s="15" t="s">
        <v>137</v>
      </c>
      <c r="Z60" s="15" t="s">
        <v>136</v>
      </c>
      <c r="AA60" s="15" t="s">
        <v>137</v>
      </c>
      <c r="AB60" s="15" t="s">
        <v>138</v>
      </c>
    </row>
    <row r="61" spans="1:31" ht="15.75" thickBot="1" x14ac:dyDescent="0.3">
      <c r="A61" s="154" t="s">
        <v>113</v>
      </c>
      <c r="B61" s="168">
        <v>36.49</v>
      </c>
      <c r="C61" s="169">
        <f t="shared" si="24"/>
        <v>0.3953685941353795</v>
      </c>
      <c r="D61" s="203">
        <f t="shared" si="31"/>
        <v>1010.1667580158947</v>
      </c>
      <c r="E61" s="157">
        <f t="shared" si="25"/>
        <v>2.5292853677133156</v>
      </c>
      <c r="F61" s="158">
        <v>903</v>
      </c>
      <c r="G61" s="159">
        <f t="shared" si="26"/>
        <v>2.473972602739726</v>
      </c>
      <c r="H61" s="160">
        <f t="shared" si="27"/>
        <v>2283.9446870451238</v>
      </c>
      <c r="I61" s="160">
        <f t="shared" si="28"/>
        <v>32950.47</v>
      </c>
      <c r="J61" s="161">
        <f t="shared" si="29"/>
        <v>7</v>
      </c>
      <c r="K61" s="162">
        <f t="shared" si="30"/>
        <v>326.27781243501767</v>
      </c>
      <c r="L61" s="166"/>
      <c r="M61" s="144"/>
      <c r="P61" s="15"/>
      <c r="Q61" s="128" t="s">
        <v>139</v>
      </c>
      <c r="R61" s="15"/>
      <c r="S61" s="15"/>
      <c r="T61" s="104">
        <v>3000</v>
      </c>
      <c r="U61" s="104">
        <v>100</v>
      </c>
      <c r="W61" s="104">
        <v>4000</v>
      </c>
      <c r="X61" s="104">
        <v>1000</v>
      </c>
      <c r="Y61" s="104"/>
      <c r="Z61" s="104">
        <v>4000</v>
      </c>
      <c r="AA61" s="104">
        <v>1000</v>
      </c>
    </row>
    <row r="62" spans="1:31" x14ac:dyDescent="0.25">
      <c r="A62" s="133" t="s">
        <v>115</v>
      </c>
      <c r="B62" s="134">
        <v>36.22</v>
      </c>
      <c r="C62" s="163">
        <f t="shared" si="24"/>
        <v>0.39831584759801214</v>
      </c>
      <c r="D62" s="201">
        <f t="shared" si="31"/>
        <v>3198.4762562120377</v>
      </c>
      <c r="E62" s="137">
        <f t="shared" si="25"/>
        <v>2.5105704581687114</v>
      </c>
      <c r="F62" s="138">
        <v>3126</v>
      </c>
      <c r="G62" s="139">
        <f t="shared" si="26"/>
        <v>8.5643835616438349</v>
      </c>
      <c r="H62" s="140">
        <f t="shared" si="27"/>
        <v>7848.0432522353922</v>
      </c>
      <c r="I62" s="140">
        <f t="shared" si="28"/>
        <v>113223.72</v>
      </c>
      <c r="J62" s="141">
        <f t="shared" si="29"/>
        <v>22</v>
      </c>
      <c r="K62" s="142">
        <f t="shared" si="30"/>
        <v>356.72923873797237</v>
      </c>
      <c r="L62" s="143">
        <f>SUM(F62:F71)</f>
        <v>6625</v>
      </c>
      <c r="M62" s="144"/>
      <c r="P62" s="15"/>
      <c r="Q62" s="128" t="s">
        <v>140</v>
      </c>
      <c r="R62" s="15"/>
      <c r="S62" s="15"/>
      <c r="T62" s="104">
        <v>10000</v>
      </c>
      <c r="U62" s="104"/>
      <c r="W62" s="104">
        <v>32000</v>
      </c>
      <c r="X62" s="104"/>
      <c r="Y62" s="104"/>
      <c r="Z62" s="104">
        <v>32000</v>
      </c>
      <c r="AA62" s="104"/>
    </row>
    <row r="63" spans="1:31" x14ac:dyDescent="0.25">
      <c r="A63" s="145" t="s">
        <v>116</v>
      </c>
      <c r="B63" s="165">
        <v>38</v>
      </c>
      <c r="C63" s="167">
        <f t="shared" si="24"/>
        <v>0.37965789473684208</v>
      </c>
      <c r="D63" s="204">
        <f t="shared" si="31"/>
        <v>1108.6010526315788</v>
      </c>
      <c r="E63" s="102">
        <f t="shared" si="25"/>
        <v>2.6339502322035075</v>
      </c>
      <c r="F63" s="148">
        <v>1006</v>
      </c>
      <c r="G63" s="149">
        <f t="shared" si="26"/>
        <v>2.7561643835616438</v>
      </c>
      <c r="H63" s="150">
        <f t="shared" si="27"/>
        <v>2649.7539335967285</v>
      </c>
      <c r="I63" s="150">
        <f t="shared" si="28"/>
        <v>38228</v>
      </c>
      <c r="J63" s="105">
        <f t="shared" si="29"/>
        <v>8</v>
      </c>
      <c r="K63" s="151">
        <f t="shared" si="30"/>
        <v>331.21924169959107</v>
      </c>
      <c r="L63" s="166"/>
      <c r="M63" s="144"/>
      <c r="P63" s="15"/>
      <c r="Q63" s="128" t="s">
        <v>141</v>
      </c>
      <c r="R63" s="15"/>
      <c r="S63" s="15"/>
      <c r="T63" s="104">
        <v>800</v>
      </c>
      <c r="U63" s="104">
        <v>0</v>
      </c>
      <c r="W63" s="104">
        <v>2000</v>
      </c>
      <c r="X63" s="104">
        <v>400</v>
      </c>
      <c r="Y63" s="104"/>
      <c r="Z63" s="205">
        <v>1000</v>
      </c>
      <c r="AA63" s="205">
        <v>200</v>
      </c>
    </row>
    <row r="64" spans="1:31" x14ac:dyDescent="0.25">
      <c r="A64" s="145" t="s">
        <v>142</v>
      </c>
      <c r="B64" s="165">
        <v>32.46</v>
      </c>
      <c r="C64" s="147">
        <f t="shared" si="24"/>
        <v>0.4444547134935305</v>
      </c>
      <c r="D64" s="196">
        <f t="shared" si="31"/>
        <v>811.12985212569311</v>
      </c>
      <c r="E64" s="102">
        <f t="shared" si="25"/>
        <v>2.2499480141401542</v>
      </c>
      <c r="F64" s="148">
        <v>769</v>
      </c>
      <c r="G64" s="149">
        <f t="shared" si="26"/>
        <v>2.106849315068493</v>
      </c>
      <c r="H64" s="150">
        <f t="shared" si="27"/>
        <v>1730.2100228737786</v>
      </c>
      <c r="I64" s="150">
        <f t="shared" si="28"/>
        <v>24961.74</v>
      </c>
      <c r="J64" s="105">
        <f t="shared" si="29"/>
        <v>5</v>
      </c>
      <c r="K64" s="151">
        <f t="shared" si="30"/>
        <v>346.04200457475571</v>
      </c>
      <c r="L64" s="166"/>
      <c r="M64" s="144"/>
      <c r="P64" s="15"/>
      <c r="Q64" s="128" t="s">
        <v>143</v>
      </c>
      <c r="R64" s="15"/>
      <c r="S64" s="15"/>
      <c r="T64" s="104">
        <v>500</v>
      </c>
      <c r="U64" s="104">
        <v>300</v>
      </c>
      <c r="W64" s="104">
        <v>600</v>
      </c>
      <c r="X64" s="104">
        <v>300</v>
      </c>
      <c r="Y64" s="104"/>
      <c r="Z64" s="104">
        <v>600</v>
      </c>
      <c r="AA64" s="104">
        <v>300</v>
      </c>
    </row>
    <row r="65" spans="1:33" x14ac:dyDescent="0.25">
      <c r="A65" s="145" t="s">
        <v>144</v>
      </c>
      <c r="B65" s="165">
        <v>38</v>
      </c>
      <c r="C65" s="147">
        <f t="shared" si="24"/>
        <v>0.37965789473684208</v>
      </c>
      <c r="D65" s="196">
        <f t="shared" si="31"/>
        <v>831.45078947368415</v>
      </c>
      <c r="E65" s="102">
        <f t="shared" si="25"/>
        <v>2.6339502322035075</v>
      </c>
      <c r="F65" s="148">
        <v>767</v>
      </c>
      <c r="G65" s="149">
        <f t="shared" si="26"/>
        <v>2.1013698630136988</v>
      </c>
      <c r="H65" s="150">
        <f t="shared" si="27"/>
        <v>2020.2398281000901</v>
      </c>
      <c r="I65" s="150">
        <f t="shared" si="28"/>
        <v>29146</v>
      </c>
      <c r="J65" s="105">
        <f t="shared" si="29"/>
        <v>6</v>
      </c>
      <c r="K65" s="151">
        <f t="shared" si="30"/>
        <v>336.70663801668167</v>
      </c>
      <c r="L65" s="166"/>
      <c r="M65" s="144"/>
      <c r="P65" s="15"/>
      <c r="Q65" s="128" t="s">
        <v>145</v>
      </c>
      <c r="R65" s="15"/>
      <c r="S65" s="15"/>
      <c r="T65" s="104">
        <v>1200</v>
      </c>
      <c r="U65" s="104"/>
      <c r="W65" s="104">
        <v>3500</v>
      </c>
      <c r="X65" s="104">
        <v>1000</v>
      </c>
      <c r="Y65" s="104"/>
      <c r="Z65" s="206">
        <v>3500</v>
      </c>
      <c r="AA65" s="206">
        <v>1000</v>
      </c>
    </row>
    <row r="66" spans="1:33" x14ac:dyDescent="0.25">
      <c r="A66" s="145" t="s">
        <v>117</v>
      </c>
      <c r="B66" s="165">
        <v>45</v>
      </c>
      <c r="C66" s="147">
        <f t="shared" si="24"/>
        <v>0.3206</v>
      </c>
      <c r="D66" s="196">
        <f t="shared" si="31"/>
        <v>234.03799999999998</v>
      </c>
      <c r="E66" s="102">
        <f t="shared" si="25"/>
        <v>3.1191515907673115</v>
      </c>
      <c r="F66" s="148">
        <v>215</v>
      </c>
      <c r="G66" s="149">
        <f t="shared" si="26"/>
        <v>0.58904109589041098</v>
      </c>
      <c r="H66" s="150">
        <f t="shared" si="27"/>
        <v>670.61759201497193</v>
      </c>
      <c r="I66" s="150">
        <f t="shared" si="28"/>
        <v>9675</v>
      </c>
      <c r="J66" s="105">
        <f t="shared" si="29"/>
        <v>2</v>
      </c>
      <c r="K66" s="151">
        <f t="shared" si="30"/>
        <v>335.30879600748597</v>
      </c>
      <c r="L66" s="166"/>
      <c r="M66" s="144"/>
      <c r="P66" s="15"/>
      <c r="Q66" s="128" t="s">
        <v>146</v>
      </c>
      <c r="R66" s="15"/>
      <c r="S66" s="15"/>
      <c r="T66" s="104">
        <v>2000</v>
      </c>
      <c r="U66" s="104">
        <v>2500</v>
      </c>
      <c r="W66" s="104">
        <v>4000</v>
      </c>
      <c r="X66" s="104">
        <v>3000</v>
      </c>
      <c r="Y66" s="104"/>
      <c r="Z66" s="104">
        <v>4000</v>
      </c>
      <c r="AA66" s="104">
        <v>3000</v>
      </c>
      <c r="AD66" t="s">
        <v>147</v>
      </c>
    </row>
    <row r="67" spans="1:33" x14ac:dyDescent="0.25">
      <c r="A67" s="145" t="s">
        <v>118</v>
      </c>
      <c r="B67" s="146">
        <v>37.619999999999997</v>
      </c>
      <c r="C67" s="167">
        <f t="shared" si="24"/>
        <v>0.38349282296650722</v>
      </c>
      <c r="D67" s="204">
        <f t="shared" si="31"/>
        <v>139.97488038277513</v>
      </c>
      <c r="E67" s="102">
        <f t="shared" si="25"/>
        <v>2.6076107298814724</v>
      </c>
      <c r="F67" s="148">
        <v>133</v>
      </c>
      <c r="G67" s="149">
        <f t="shared" si="26"/>
        <v>0.36438356164383562</v>
      </c>
      <c r="H67" s="150">
        <f t="shared" si="27"/>
        <v>346.81222707423581</v>
      </c>
      <c r="I67" s="150">
        <f t="shared" si="28"/>
        <v>5003.46</v>
      </c>
      <c r="J67" s="105">
        <f t="shared" si="29"/>
        <v>1</v>
      </c>
      <c r="K67" s="151">
        <f t="shared" si="30"/>
        <v>346.81222707423581</v>
      </c>
      <c r="L67" s="166"/>
      <c r="M67" s="144"/>
      <c r="P67" s="15"/>
      <c r="Q67" s="207" t="s">
        <v>148</v>
      </c>
      <c r="R67" s="15"/>
      <c r="S67" s="15"/>
      <c r="T67" s="104">
        <v>7500</v>
      </c>
      <c r="U67" s="104"/>
      <c r="W67" s="104">
        <v>8000</v>
      </c>
      <c r="X67" s="104"/>
      <c r="Y67" s="104">
        <v>4800</v>
      </c>
      <c r="Z67" s="104">
        <v>8000</v>
      </c>
      <c r="AA67" s="104"/>
      <c r="AB67" s="104">
        <v>4800</v>
      </c>
      <c r="AD67" t="s">
        <v>149</v>
      </c>
      <c r="AG67" s="208" t="s">
        <v>150</v>
      </c>
    </row>
    <row r="68" spans="1:33" x14ac:dyDescent="0.25">
      <c r="A68" s="145" t="s">
        <v>120</v>
      </c>
      <c r="B68" s="146">
        <v>34.96</v>
      </c>
      <c r="C68" s="167">
        <f t="shared" si="24"/>
        <v>0.4126716247139588</v>
      </c>
      <c r="D68" s="204">
        <f t="shared" si="31"/>
        <v>301.2502860411899</v>
      </c>
      <c r="E68" s="102">
        <f t="shared" si="25"/>
        <v>2.4232342136272269</v>
      </c>
      <c r="F68" s="148">
        <v>289</v>
      </c>
      <c r="G68" s="149">
        <f t="shared" si="26"/>
        <v>0.79178082191780819</v>
      </c>
      <c r="H68" s="150">
        <f t="shared" si="27"/>
        <v>700.31468773826862</v>
      </c>
      <c r="I68" s="150">
        <f t="shared" si="28"/>
        <v>10103.44</v>
      </c>
      <c r="J68" s="105">
        <f t="shared" si="29"/>
        <v>2</v>
      </c>
      <c r="K68" s="151">
        <f t="shared" si="30"/>
        <v>350.15734386913431</v>
      </c>
      <c r="L68" s="166"/>
      <c r="M68" s="144"/>
      <c r="P68" s="15"/>
      <c r="Q68" s="207" t="s">
        <v>151</v>
      </c>
      <c r="R68" s="15"/>
      <c r="S68" s="15"/>
      <c r="T68" s="104">
        <v>10000</v>
      </c>
      <c r="U68" s="104"/>
      <c r="W68" s="104">
        <v>8000</v>
      </c>
      <c r="X68" s="104"/>
      <c r="Y68" s="104">
        <v>4800</v>
      </c>
      <c r="Z68" s="104">
        <v>8000</v>
      </c>
      <c r="AA68" s="104"/>
      <c r="AB68" s="104">
        <v>4800</v>
      </c>
    </row>
    <row r="69" spans="1:33" x14ac:dyDescent="0.25">
      <c r="A69" s="145" t="s">
        <v>152</v>
      </c>
      <c r="B69" s="165">
        <v>30</v>
      </c>
      <c r="C69" s="147">
        <f t="shared" si="24"/>
        <v>0.48089999999999999</v>
      </c>
      <c r="D69" s="196">
        <f t="shared" si="31"/>
        <v>351.05699999999996</v>
      </c>
      <c r="E69" s="102">
        <f t="shared" si="25"/>
        <v>2.0794343938448741</v>
      </c>
      <c r="F69" s="148">
        <v>205</v>
      </c>
      <c r="G69" s="149">
        <f t="shared" si="26"/>
        <v>0.56164383561643838</v>
      </c>
      <c r="H69" s="150">
        <f t="shared" si="27"/>
        <v>426.2840507381992</v>
      </c>
      <c r="I69" s="150">
        <f t="shared" si="28"/>
        <v>6150</v>
      </c>
      <c r="J69" s="105">
        <f t="shared" si="29"/>
        <v>2</v>
      </c>
      <c r="K69" s="151">
        <f t="shared" si="30"/>
        <v>213.1420253690996</v>
      </c>
      <c r="L69" s="166"/>
      <c r="M69" s="144"/>
      <c r="P69" s="15"/>
      <c r="Q69" s="128" t="s">
        <v>153</v>
      </c>
      <c r="R69" s="15"/>
      <c r="S69" s="15"/>
      <c r="T69" s="104">
        <v>10000</v>
      </c>
      <c r="U69" s="104"/>
      <c r="W69" s="209">
        <v>24000</v>
      </c>
      <c r="X69" s="104"/>
      <c r="Y69" s="104"/>
      <c r="Z69" s="209">
        <v>24000</v>
      </c>
      <c r="AA69" s="104"/>
      <c r="AD69" s="210" t="s">
        <v>154</v>
      </c>
    </row>
    <row r="70" spans="1:33" x14ac:dyDescent="0.25">
      <c r="A70" s="145" t="s">
        <v>155</v>
      </c>
      <c r="B70" s="165">
        <v>30</v>
      </c>
      <c r="C70" s="147">
        <f t="shared" si="24"/>
        <v>0.48089999999999999</v>
      </c>
      <c r="D70" s="196">
        <f t="shared" si="31"/>
        <v>175.52849999999998</v>
      </c>
      <c r="E70" s="102">
        <f t="shared" si="25"/>
        <v>2.0794343938448741</v>
      </c>
      <c r="F70" s="148">
        <v>100</v>
      </c>
      <c r="G70" s="149">
        <f t="shared" si="26"/>
        <v>0.27397260273972601</v>
      </c>
      <c r="H70" s="150">
        <f t="shared" si="27"/>
        <v>207.94343938448742</v>
      </c>
      <c r="I70" s="150">
        <f t="shared" si="28"/>
        <v>3000</v>
      </c>
      <c r="J70" s="105">
        <f t="shared" si="29"/>
        <v>1</v>
      </c>
      <c r="K70" s="151">
        <f t="shared" si="30"/>
        <v>207.94343938448742</v>
      </c>
      <c r="L70" s="166"/>
      <c r="M70" s="144"/>
      <c r="P70" s="15"/>
      <c r="Q70" s="128" t="s">
        <v>156</v>
      </c>
      <c r="T70" s="211"/>
      <c r="U70" s="211"/>
      <c r="V70" s="211"/>
      <c r="W70" s="209">
        <v>12500</v>
      </c>
      <c r="X70" s="212"/>
      <c r="Y70" s="104"/>
      <c r="Z70" s="209">
        <v>12500</v>
      </c>
      <c r="AA70" s="212"/>
    </row>
    <row r="71" spans="1:33" ht="15.75" thickBot="1" x14ac:dyDescent="0.3">
      <c r="A71" s="154" t="s">
        <v>157</v>
      </c>
      <c r="B71" s="175">
        <v>30</v>
      </c>
      <c r="C71" s="169">
        <f t="shared" si="24"/>
        <v>0.48089999999999999</v>
      </c>
      <c r="D71" s="203">
        <f t="shared" si="31"/>
        <v>175.52849999999998</v>
      </c>
      <c r="E71" s="157">
        <f t="shared" si="25"/>
        <v>2.0794343938448741</v>
      </c>
      <c r="F71" s="158">
        <v>15</v>
      </c>
      <c r="G71" s="159">
        <f t="shared" si="26"/>
        <v>4.1095890410958902E-2</v>
      </c>
      <c r="H71" s="160">
        <f t="shared" si="27"/>
        <v>31.191515907673114</v>
      </c>
      <c r="I71" s="160">
        <f t="shared" si="28"/>
        <v>450</v>
      </c>
      <c r="J71" s="161">
        <f t="shared" si="29"/>
        <v>1</v>
      </c>
      <c r="K71" s="162">
        <f t="shared" si="30"/>
        <v>31.191515907673114</v>
      </c>
      <c r="L71" s="166"/>
      <c r="M71" s="144"/>
      <c r="P71" s="15"/>
      <c r="Q71" s="128" t="s">
        <v>158</v>
      </c>
      <c r="T71" s="211"/>
      <c r="U71" s="211"/>
      <c r="V71" s="211"/>
      <c r="W71" s="104">
        <v>7500</v>
      </c>
      <c r="X71" s="212"/>
      <c r="Y71" s="104"/>
      <c r="Z71" s="104">
        <v>7500</v>
      </c>
      <c r="AA71" s="212"/>
    </row>
    <row r="72" spans="1:33" x14ac:dyDescent="0.25">
      <c r="A72" s="133" t="s">
        <v>80</v>
      </c>
      <c r="B72" s="171">
        <v>46.47</v>
      </c>
      <c r="C72" s="163">
        <f t="shared" si="24"/>
        <v>0.31045836023240803</v>
      </c>
      <c r="D72" s="201">
        <f t="shared" si="31"/>
        <v>3852.7882504841828</v>
      </c>
      <c r="E72" s="137">
        <f t="shared" si="25"/>
        <v>3.2210438760657101</v>
      </c>
      <c r="F72" s="138">
        <v>3777</v>
      </c>
      <c r="G72" s="139">
        <f t="shared" si="26"/>
        <v>10.347945205479451</v>
      </c>
      <c r="H72" s="140">
        <f t="shared" si="27"/>
        <v>12165.882719900188</v>
      </c>
      <c r="I72" s="140">
        <f t="shared" si="28"/>
        <v>175517.19</v>
      </c>
      <c r="J72" s="141">
        <f t="shared" si="29"/>
        <v>34</v>
      </c>
      <c r="K72" s="142">
        <f t="shared" si="30"/>
        <v>357.82007999706434</v>
      </c>
      <c r="L72" s="143">
        <f>SUM(F72:F73)</f>
        <v>4546</v>
      </c>
      <c r="M72" s="144"/>
      <c r="P72" s="15"/>
      <c r="Q72" s="128" t="s">
        <v>159</v>
      </c>
      <c r="R72" s="15"/>
      <c r="S72" s="15"/>
      <c r="T72" s="104">
        <v>8000</v>
      </c>
      <c r="U72" s="104"/>
      <c r="V72" s="213">
        <v>75</v>
      </c>
      <c r="W72" s="209">
        <v>14400</v>
      </c>
      <c r="X72" s="104"/>
      <c r="Y72" s="104"/>
      <c r="Z72" s="205">
        <v>8000</v>
      </c>
      <c r="AA72" s="104"/>
      <c r="AB72" s="214"/>
    </row>
    <row r="73" spans="1:33" ht="15.75" thickBot="1" x14ac:dyDescent="0.3">
      <c r="A73" s="154" t="s">
        <v>127</v>
      </c>
      <c r="B73" s="175">
        <v>43</v>
      </c>
      <c r="C73" s="169">
        <f t="shared" si="24"/>
        <v>0.33551162790697675</v>
      </c>
      <c r="D73" s="203">
        <f t="shared" si="31"/>
        <v>857.2322093023256</v>
      </c>
      <c r="E73" s="157">
        <f t="shared" si="25"/>
        <v>2.9805226311776529</v>
      </c>
      <c r="F73" s="158">
        <v>769</v>
      </c>
      <c r="G73" s="159">
        <f t="shared" si="26"/>
        <v>2.106849315068493</v>
      </c>
      <c r="H73" s="160">
        <f t="shared" si="27"/>
        <v>2292.0219033756152</v>
      </c>
      <c r="I73" s="160">
        <f t="shared" si="28"/>
        <v>33067</v>
      </c>
      <c r="J73" s="161">
        <f t="shared" si="29"/>
        <v>7</v>
      </c>
      <c r="K73" s="162">
        <f t="shared" si="30"/>
        <v>327.43170048223072</v>
      </c>
      <c r="L73" s="166"/>
      <c r="M73" s="144"/>
      <c r="P73" s="15"/>
      <c r="Q73" s="128" t="s">
        <v>160</v>
      </c>
      <c r="R73" s="15"/>
      <c r="S73" s="15"/>
      <c r="T73" s="104">
        <v>18000</v>
      </c>
      <c r="U73" s="104"/>
      <c r="V73" s="213">
        <v>2</v>
      </c>
      <c r="W73" s="209">
        <v>25000</v>
      </c>
      <c r="X73" s="104"/>
      <c r="Y73" s="215">
        <v>2.5</v>
      </c>
      <c r="Z73" s="205">
        <v>18000</v>
      </c>
      <c r="AA73" s="104"/>
      <c r="AB73" s="205"/>
    </row>
    <row r="74" spans="1:33" ht="15.75" thickBot="1" x14ac:dyDescent="0.3">
      <c r="A74" s="133" t="s">
        <v>82</v>
      </c>
      <c r="B74" s="134">
        <v>55.61</v>
      </c>
      <c r="C74" s="163">
        <f t="shared" si="24"/>
        <v>0.25943175687825931</v>
      </c>
      <c r="D74" s="201">
        <f t="shared" si="31"/>
        <v>662.84813882395258</v>
      </c>
      <c r="E74" s="137">
        <f t="shared" si="25"/>
        <v>3.8545782213904487</v>
      </c>
      <c r="F74" s="138">
        <v>641</v>
      </c>
      <c r="G74" s="139">
        <f t="shared" si="26"/>
        <v>1.7561643835616438</v>
      </c>
      <c r="H74" s="140">
        <f t="shared" si="27"/>
        <v>2470.7846399112777</v>
      </c>
      <c r="I74" s="140">
        <f t="shared" si="28"/>
        <v>35646.01</v>
      </c>
      <c r="J74" s="141">
        <f t="shared" si="29"/>
        <v>7</v>
      </c>
      <c r="K74" s="142">
        <f t="shared" si="30"/>
        <v>352.96923427303966</v>
      </c>
      <c r="L74" s="143">
        <f>SUM(F74)</f>
        <v>641</v>
      </c>
      <c r="M74" s="144"/>
      <c r="P74" s="15"/>
      <c r="Q74" s="128" t="s">
        <v>161</v>
      </c>
      <c r="T74" s="211"/>
      <c r="U74" s="211"/>
      <c r="V74" s="211"/>
      <c r="W74" s="209">
        <v>30000</v>
      </c>
      <c r="Y74" s="104"/>
      <c r="Z74" s="205">
        <v>18000</v>
      </c>
    </row>
    <row r="75" spans="1:33" x14ac:dyDescent="0.25">
      <c r="A75" s="133" t="s">
        <v>85</v>
      </c>
      <c r="B75" s="152">
        <v>100</v>
      </c>
      <c r="C75" s="153">
        <f t="shared" si="24"/>
        <v>0.14427000000000001</v>
      </c>
      <c r="D75" s="195">
        <f t="shared" si="31"/>
        <v>421.26839999999999</v>
      </c>
      <c r="E75" s="137">
        <f t="shared" si="25"/>
        <v>6.9314479794829138</v>
      </c>
      <c r="F75" s="138">
        <v>377</v>
      </c>
      <c r="G75" s="139">
        <f t="shared" si="26"/>
        <v>1.0328767123287672</v>
      </c>
      <c r="H75" s="140">
        <f t="shared" si="27"/>
        <v>2613.1558882650588</v>
      </c>
      <c r="I75" s="140">
        <f t="shared" si="28"/>
        <v>37700</v>
      </c>
      <c r="J75" s="141">
        <f t="shared" si="29"/>
        <v>8</v>
      </c>
      <c r="K75" s="142">
        <f t="shared" si="30"/>
        <v>326.64448603313235</v>
      </c>
      <c r="L75" s="143">
        <f>SUM(F75:F76)</f>
        <v>428</v>
      </c>
      <c r="M75" s="144"/>
      <c r="P75" s="15"/>
      <c r="Q75" s="128" t="s">
        <v>162</v>
      </c>
      <c r="R75" s="15"/>
      <c r="S75" s="15"/>
      <c r="T75" s="104">
        <v>6400</v>
      </c>
      <c r="U75" s="104"/>
      <c r="W75" s="104">
        <v>12800</v>
      </c>
      <c r="X75" s="104"/>
      <c r="Y75" s="104"/>
      <c r="Z75" s="205">
        <v>6400</v>
      </c>
      <c r="AA75" s="104"/>
    </row>
    <row r="76" spans="1:33" ht="15.75" thickBot="1" x14ac:dyDescent="0.3">
      <c r="A76" s="154" t="s">
        <v>163</v>
      </c>
      <c r="B76" s="175">
        <v>100</v>
      </c>
      <c r="C76" s="169">
        <f t="shared" si="24"/>
        <v>0.14427000000000001</v>
      </c>
      <c r="D76" s="203">
        <f t="shared" si="31"/>
        <v>52.658549999999998</v>
      </c>
      <c r="E76" s="157">
        <f t="shared" si="25"/>
        <v>6.9314479794829138</v>
      </c>
      <c r="F76" s="158">
        <v>51</v>
      </c>
      <c r="G76" s="159">
        <f t="shared" si="26"/>
        <v>0.13972602739726028</v>
      </c>
      <c r="H76" s="160">
        <f t="shared" si="27"/>
        <v>353.50384695362862</v>
      </c>
      <c r="I76" s="160">
        <f t="shared" si="28"/>
        <v>5100</v>
      </c>
      <c r="J76" s="161">
        <f t="shared" si="29"/>
        <v>1</v>
      </c>
      <c r="K76" s="162">
        <f t="shared" si="30"/>
        <v>353.50384695362862</v>
      </c>
      <c r="M76" s="144"/>
      <c r="N76" s="15"/>
      <c r="P76" s="15"/>
      <c r="Q76" s="128" t="s">
        <v>164</v>
      </c>
      <c r="R76" s="15"/>
      <c r="S76" s="15"/>
      <c r="T76" s="104">
        <v>10000</v>
      </c>
      <c r="U76" s="104"/>
      <c r="W76" s="209">
        <v>4400</v>
      </c>
      <c r="X76" s="104"/>
      <c r="Y76" s="104"/>
      <c r="Z76" s="205">
        <v>10000</v>
      </c>
      <c r="AA76" s="104"/>
    </row>
    <row r="77" spans="1:33" x14ac:dyDescent="0.25">
      <c r="B77" s="15"/>
      <c r="C77" s="186"/>
      <c r="D77" s="116">
        <f>SUM(D56:D76)</f>
        <v>20966.647137069031</v>
      </c>
      <c r="E77" s="102"/>
      <c r="F77" s="103">
        <f>SUM(F56:F76)</f>
        <v>19492</v>
      </c>
      <c r="G77" s="187">
        <f>SUM(G56:G76)</f>
        <v>53.402739726027384</v>
      </c>
      <c r="H77" s="188"/>
      <c r="I77" s="189">
        <f>SUM(I56:I76)</f>
        <v>763370.74</v>
      </c>
      <c r="J77" s="190">
        <f>SUM(J56:J76)</f>
        <v>155</v>
      </c>
      <c r="K77" s="107"/>
      <c r="M77" s="122"/>
      <c r="N77" s="22"/>
      <c r="P77" s="15"/>
      <c r="Q77" s="128" t="s">
        <v>165</v>
      </c>
      <c r="R77" s="15"/>
      <c r="S77" s="15"/>
      <c r="T77" s="104">
        <v>12500</v>
      </c>
      <c r="U77" s="104"/>
      <c r="W77" s="216"/>
      <c r="X77" s="216"/>
      <c r="Y77" s="216"/>
      <c r="Z77" s="216"/>
      <c r="AA77" s="216"/>
    </row>
    <row r="78" spans="1:33" x14ac:dyDescent="0.25">
      <c r="B78" s="15"/>
      <c r="C78" s="186"/>
      <c r="D78" s="116"/>
      <c r="E78" s="217"/>
      <c r="F78" s="218"/>
      <c r="G78" s="187"/>
      <c r="H78" s="188"/>
      <c r="I78" s="189"/>
      <c r="J78" s="122"/>
      <c r="K78" s="107"/>
      <c r="M78" s="122"/>
      <c r="N78" s="22"/>
      <c r="P78" s="15"/>
      <c r="Q78" s="128" t="s">
        <v>166</v>
      </c>
      <c r="R78" s="15"/>
      <c r="S78" s="15"/>
      <c r="T78" s="104">
        <v>10000</v>
      </c>
      <c r="U78" s="104"/>
      <c r="W78" s="209">
        <v>4400</v>
      </c>
      <c r="X78" s="104"/>
      <c r="Y78" s="104"/>
      <c r="Z78" s="205">
        <v>10000</v>
      </c>
      <c r="AA78" s="104"/>
    </row>
    <row r="79" spans="1:33" ht="15.75" thickBot="1" x14ac:dyDescent="0.3">
      <c r="A79" s="125">
        <v>1943</v>
      </c>
      <c r="B79" s="15"/>
      <c r="C79" s="15"/>
      <c r="D79" s="116"/>
      <c r="E79" s="91" t="s">
        <v>61</v>
      </c>
      <c r="F79" s="99" t="s">
        <v>62</v>
      </c>
      <c r="G79" s="99" t="s">
        <v>99</v>
      </c>
      <c r="H79" s="129" t="s">
        <v>63</v>
      </c>
      <c r="I79" s="129"/>
      <c r="J79" s="100" t="s">
        <v>64</v>
      </c>
      <c r="K79" s="91" t="s">
        <v>66</v>
      </c>
      <c r="M79" s="132"/>
      <c r="N79" s="15"/>
      <c r="P79" s="119"/>
      <c r="Q79" s="128" t="s">
        <v>167</v>
      </c>
      <c r="R79" s="15"/>
      <c r="S79" s="15"/>
      <c r="T79" s="104">
        <v>12500</v>
      </c>
      <c r="U79" s="104"/>
      <c r="W79" s="216"/>
      <c r="X79" s="216"/>
      <c r="Y79" s="216"/>
      <c r="Z79" s="216"/>
      <c r="AA79" s="216"/>
    </row>
    <row r="80" spans="1:33" x14ac:dyDescent="0.25">
      <c r="A80" s="219" t="s">
        <v>168</v>
      </c>
      <c r="B80" s="134">
        <v>26.1</v>
      </c>
      <c r="C80" s="220">
        <f t="shared" ref="C80:C99" si="32">SUM($H$17/B80)</f>
        <v>0.55275862068965509</v>
      </c>
      <c r="D80" s="221">
        <f t="shared" ref="D80:D99" si="33">SUM(($H$17*J80*365)/B80)</f>
        <v>6052.7068965517237</v>
      </c>
      <c r="E80" s="137">
        <f t="shared" ref="E80:E99" si="34">SUM(B80/$H$17)</f>
        <v>1.8091079226450406</v>
      </c>
      <c r="F80" s="138">
        <v>6013</v>
      </c>
      <c r="G80" s="139">
        <f t="shared" ref="G80:G99" si="35">SUM(F80/365)</f>
        <v>16.473972602739725</v>
      </c>
      <c r="H80" s="140">
        <f t="shared" ref="H80:H99" si="36">SUM(F80*B80)/$H$17</f>
        <v>10878.165938864629</v>
      </c>
      <c r="I80" s="140">
        <f t="shared" ref="I80:I99" si="37">SUM(B80*F80)</f>
        <v>156939.30000000002</v>
      </c>
      <c r="J80" s="141">
        <f t="shared" ref="J80:J99" si="38">ROUNDUP(((F80*B80)/$H$17)/365,0)</f>
        <v>30</v>
      </c>
      <c r="K80" s="142">
        <f t="shared" ref="K80:K99" si="39">SUM((F80*B80)/($H$17*J80))</f>
        <v>362.60553129548765</v>
      </c>
      <c r="L80" s="143">
        <f>SUM(F80:F87)</f>
        <v>10059</v>
      </c>
      <c r="M80" s="144"/>
      <c r="N80" s="15"/>
      <c r="P80" s="15"/>
      <c r="Q80" s="128" t="s">
        <v>169</v>
      </c>
      <c r="R80" s="15"/>
      <c r="S80" s="15"/>
      <c r="T80" s="104">
        <v>10000</v>
      </c>
      <c r="U80" s="104">
        <v>-556</v>
      </c>
      <c r="W80" s="104">
        <v>10000</v>
      </c>
      <c r="X80" s="104">
        <v>-250</v>
      </c>
      <c r="Y80" s="104"/>
      <c r="Z80" s="104">
        <v>10000</v>
      </c>
      <c r="AA80" s="104">
        <v>-250</v>
      </c>
    </row>
    <row r="81" spans="1:27" x14ac:dyDescent="0.25">
      <c r="A81" s="222" t="s">
        <v>170</v>
      </c>
      <c r="B81" s="223">
        <v>28.3</v>
      </c>
      <c r="C81" s="224">
        <f t="shared" si="32"/>
        <v>0.50978798586572438</v>
      </c>
      <c r="D81" s="225">
        <f t="shared" si="33"/>
        <v>2232.8713780918724</v>
      </c>
      <c r="E81" s="102">
        <f t="shared" si="34"/>
        <v>1.9615997781936647</v>
      </c>
      <c r="F81" s="148">
        <v>2171</v>
      </c>
      <c r="G81" s="149">
        <f t="shared" si="35"/>
        <v>5.9479452054794519</v>
      </c>
      <c r="H81" s="150">
        <f t="shared" si="36"/>
        <v>4258.633118458446</v>
      </c>
      <c r="I81" s="150">
        <f t="shared" si="37"/>
        <v>61439.3</v>
      </c>
      <c r="J81" s="105">
        <f t="shared" si="38"/>
        <v>12</v>
      </c>
      <c r="K81" s="151">
        <f t="shared" si="39"/>
        <v>354.88609320487052</v>
      </c>
      <c r="M81" s="144"/>
      <c r="N81" s="15"/>
      <c r="P81" s="15"/>
      <c r="Q81" s="128" t="s">
        <v>171</v>
      </c>
      <c r="R81" s="15"/>
      <c r="S81" s="15"/>
      <c r="T81" s="104">
        <v>1500</v>
      </c>
      <c r="U81" s="104">
        <v>1500</v>
      </c>
      <c r="W81" s="104">
        <v>8000</v>
      </c>
      <c r="X81" s="104">
        <v>2000</v>
      </c>
      <c r="Y81" s="104"/>
      <c r="Z81" s="205">
        <v>2500</v>
      </c>
      <c r="AA81" s="205">
        <v>1500</v>
      </c>
    </row>
    <row r="82" spans="1:27" x14ac:dyDescent="0.25">
      <c r="A82" s="222" t="s">
        <v>172</v>
      </c>
      <c r="B82" s="223">
        <v>47.78</v>
      </c>
      <c r="C82" s="224">
        <f t="shared" si="32"/>
        <v>0.30194642109669317</v>
      </c>
      <c r="D82" s="225">
        <f t="shared" si="33"/>
        <v>220.420887400586</v>
      </c>
      <c r="E82" s="102">
        <f t="shared" si="34"/>
        <v>3.3118458445969363</v>
      </c>
      <c r="F82" s="148">
        <v>157</v>
      </c>
      <c r="G82" s="149">
        <f t="shared" si="35"/>
        <v>0.43013698630136987</v>
      </c>
      <c r="H82" s="150">
        <f t="shared" si="36"/>
        <v>519.95979760171906</v>
      </c>
      <c r="I82" s="150">
        <f t="shared" si="37"/>
        <v>7501.46</v>
      </c>
      <c r="J82" s="105">
        <f t="shared" si="38"/>
        <v>2</v>
      </c>
      <c r="K82" s="151">
        <f t="shared" si="39"/>
        <v>259.97989880085953</v>
      </c>
      <c r="M82" s="144"/>
      <c r="N82" s="15"/>
      <c r="P82" s="15"/>
      <c r="Q82" s="226" t="s">
        <v>173</v>
      </c>
      <c r="T82" s="211"/>
      <c r="U82" s="211"/>
      <c r="V82" s="211"/>
      <c r="W82" s="104">
        <v>5000</v>
      </c>
      <c r="X82" s="104"/>
      <c r="Y82" s="104"/>
      <c r="Z82" s="205">
        <v>1500</v>
      </c>
      <c r="AA82" s="205"/>
    </row>
    <row r="83" spans="1:27" x14ac:dyDescent="0.25">
      <c r="A83" s="222" t="s">
        <v>174</v>
      </c>
      <c r="B83" s="223">
        <v>51.2</v>
      </c>
      <c r="C83" s="224">
        <f t="shared" si="32"/>
        <v>0.28177734374999996</v>
      </c>
      <c r="D83" s="225">
        <f t="shared" si="33"/>
        <v>102.84873046874999</v>
      </c>
      <c r="E83" s="102">
        <f t="shared" si="34"/>
        <v>3.5489013654952521</v>
      </c>
      <c r="F83" s="148">
        <v>11</v>
      </c>
      <c r="G83" s="149">
        <f t="shared" si="35"/>
        <v>3.0136986301369864E-2</v>
      </c>
      <c r="H83" s="150">
        <f t="shared" si="36"/>
        <v>39.037915020447777</v>
      </c>
      <c r="I83" s="150">
        <f t="shared" si="37"/>
        <v>563.20000000000005</v>
      </c>
      <c r="J83" s="105">
        <f t="shared" si="38"/>
        <v>1</v>
      </c>
      <c r="K83" s="151">
        <f t="shared" si="39"/>
        <v>39.037915020447777</v>
      </c>
      <c r="M83" s="144"/>
      <c r="N83" s="15"/>
      <c r="P83" s="15"/>
      <c r="Q83" s="128" t="s">
        <v>175</v>
      </c>
      <c r="R83" s="15"/>
      <c r="S83" s="15"/>
      <c r="T83" s="104">
        <v>1000</v>
      </c>
      <c r="U83" s="104">
        <v>1000</v>
      </c>
      <c r="W83" s="104">
        <v>10000</v>
      </c>
      <c r="X83" s="104">
        <v>3000</v>
      </c>
      <c r="Y83" s="104"/>
      <c r="Z83" s="205">
        <v>4000</v>
      </c>
      <c r="AA83" s="205">
        <v>2500</v>
      </c>
    </row>
    <row r="84" spans="1:27" x14ac:dyDescent="0.25">
      <c r="A84" s="222" t="s">
        <v>176</v>
      </c>
      <c r="B84" s="223">
        <v>47.97</v>
      </c>
      <c r="C84" s="224">
        <f t="shared" si="32"/>
        <v>0.30075046904315195</v>
      </c>
      <c r="D84" s="225">
        <f t="shared" si="33"/>
        <v>768.41744840525337</v>
      </c>
      <c r="E84" s="102">
        <f t="shared" si="34"/>
        <v>3.3250155957579537</v>
      </c>
      <c r="F84" s="148">
        <v>706</v>
      </c>
      <c r="G84" s="149">
        <f t="shared" si="35"/>
        <v>1.9342465753424658</v>
      </c>
      <c r="H84" s="150">
        <f t="shared" si="36"/>
        <v>2347.4610106051155</v>
      </c>
      <c r="I84" s="150">
        <f t="shared" si="37"/>
        <v>33866.82</v>
      </c>
      <c r="J84" s="105">
        <f t="shared" si="38"/>
        <v>7</v>
      </c>
      <c r="K84" s="151">
        <f t="shared" si="39"/>
        <v>335.35157294358788</v>
      </c>
      <c r="M84" s="144"/>
      <c r="N84" s="15"/>
      <c r="P84" s="15"/>
      <c r="Q84" s="128" t="s">
        <v>177</v>
      </c>
      <c r="R84" s="15"/>
      <c r="S84" s="15"/>
      <c r="T84" s="104">
        <v>20000</v>
      </c>
      <c r="U84" s="104"/>
      <c r="W84" s="104">
        <v>25000</v>
      </c>
      <c r="X84" s="104"/>
      <c r="Y84" s="104"/>
      <c r="Z84" s="104">
        <v>25000</v>
      </c>
      <c r="AA84" s="104"/>
    </row>
    <row r="85" spans="1:27" x14ac:dyDescent="0.25">
      <c r="A85" s="222" t="s">
        <v>178</v>
      </c>
      <c r="B85" s="223">
        <v>42.37</v>
      </c>
      <c r="C85" s="224">
        <f t="shared" si="32"/>
        <v>0.34050035402407364</v>
      </c>
      <c r="D85" s="225">
        <f t="shared" si="33"/>
        <v>745.69577531272125</v>
      </c>
      <c r="E85" s="102">
        <f t="shared" si="34"/>
        <v>2.9368545089069107</v>
      </c>
      <c r="F85" s="148">
        <v>641</v>
      </c>
      <c r="G85" s="149">
        <f t="shared" si="35"/>
        <v>1.7561643835616438</v>
      </c>
      <c r="H85" s="150">
        <f t="shared" si="36"/>
        <v>1882.5237402093296</v>
      </c>
      <c r="I85" s="150">
        <f t="shared" si="37"/>
        <v>27159.17</v>
      </c>
      <c r="J85" s="105">
        <f t="shared" si="38"/>
        <v>6</v>
      </c>
      <c r="K85" s="151">
        <f t="shared" si="39"/>
        <v>313.75395670155496</v>
      </c>
      <c r="M85" s="144"/>
      <c r="N85" s="15"/>
      <c r="P85" s="15"/>
      <c r="Q85" s="128" t="s">
        <v>179</v>
      </c>
      <c r="R85" s="15"/>
      <c r="S85" s="15"/>
      <c r="T85" s="104">
        <v>100000</v>
      </c>
      <c r="U85" s="104"/>
      <c r="W85" s="104">
        <v>100000</v>
      </c>
      <c r="X85" s="104"/>
      <c r="Y85" s="104"/>
      <c r="Z85" s="104">
        <v>100000</v>
      </c>
      <c r="AA85" s="104"/>
    </row>
    <row r="86" spans="1:27" x14ac:dyDescent="0.25">
      <c r="A86" s="222" t="s">
        <v>180</v>
      </c>
      <c r="B86" s="223">
        <v>44.65</v>
      </c>
      <c r="C86" s="224">
        <f t="shared" si="32"/>
        <v>0.32311310190369541</v>
      </c>
      <c r="D86" s="225">
        <f t="shared" si="33"/>
        <v>117.93628219484881</v>
      </c>
      <c r="E86" s="102">
        <f t="shared" si="34"/>
        <v>3.0948915228391209</v>
      </c>
      <c r="F86" s="148">
        <v>89</v>
      </c>
      <c r="G86" s="149">
        <f t="shared" si="35"/>
        <v>0.24383561643835616</v>
      </c>
      <c r="H86" s="150">
        <f t="shared" si="36"/>
        <v>275.44534553268176</v>
      </c>
      <c r="I86" s="150">
        <f t="shared" si="37"/>
        <v>3973.85</v>
      </c>
      <c r="J86" s="105">
        <f t="shared" si="38"/>
        <v>1</v>
      </c>
      <c r="K86" s="151">
        <f t="shared" si="39"/>
        <v>275.44534553268176</v>
      </c>
      <c r="M86" s="144"/>
      <c r="N86" s="15"/>
      <c r="P86" s="15"/>
      <c r="Q86" s="128" t="s">
        <v>181</v>
      </c>
      <c r="W86" s="104">
        <v>80000</v>
      </c>
      <c r="Y86" s="104"/>
      <c r="Z86" s="104">
        <v>80000</v>
      </c>
    </row>
    <row r="87" spans="1:27" ht="15.75" thickBot="1" x14ac:dyDescent="0.3">
      <c r="A87" s="227" t="s">
        <v>182</v>
      </c>
      <c r="B87" s="155">
        <v>46.45</v>
      </c>
      <c r="C87" s="228">
        <f t="shared" si="32"/>
        <v>0.31059203444564043</v>
      </c>
      <c r="D87" s="229">
        <f t="shared" si="33"/>
        <v>340.09827771797626</v>
      </c>
      <c r="E87" s="157">
        <f t="shared" si="34"/>
        <v>3.2196575864698138</v>
      </c>
      <c r="F87" s="158">
        <v>271</v>
      </c>
      <c r="G87" s="159">
        <f t="shared" si="35"/>
        <v>0.74246575342465748</v>
      </c>
      <c r="H87" s="160">
        <f t="shared" si="36"/>
        <v>872.52720593331958</v>
      </c>
      <c r="I87" s="160">
        <f t="shared" si="37"/>
        <v>12587.95</v>
      </c>
      <c r="J87" s="161">
        <f t="shared" si="38"/>
        <v>3</v>
      </c>
      <c r="K87" s="162">
        <f t="shared" si="39"/>
        <v>290.84240197777319</v>
      </c>
      <c r="M87" s="144"/>
      <c r="N87" s="15"/>
      <c r="P87" s="15"/>
      <c r="Q87" s="128" t="s">
        <v>183</v>
      </c>
      <c r="R87" s="15"/>
      <c r="S87" s="15"/>
      <c r="T87" s="216"/>
      <c r="U87" s="230"/>
      <c r="V87" s="211"/>
      <c r="W87" s="104">
        <v>6000</v>
      </c>
      <c r="X87" s="104"/>
      <c r="Y87" s="104"/>
      <c r="Z87" s="104">
        <v>6000</v>
      </c>
      <c r="AA87" s="104"/>
    </row>
    <row r="88" spans="1:27" x14ac:dyDescent="0.25">
      <c r="A88" s="222" t="s">
        <v>170</v>
      </c>
      <c r="B88" s="231">
        <v>28.1</v>
      </c>
      <c r="C88" s="224">
        <f t="shared" si="32"/>
        <v>0.51341637010676155</v>
      </c>
      <c r="D88" s="225">
        <f t="shared" si="33"/>
        <v>1311.7788256227757</v>
      </c>
      <c r="E88" s="102">
        <f t="shared" si="34"/>
        <v>1.947736882234699</v>
      </c>
      <c r="F88" s="148">
        <v>1183</v>
      </c>
      <c r="G88" s="149">
        <f t="shared" si="35"/>
        <v>3.2410958904109588</v>
      </c>
      <c r="H88" s="150">
        <f t="shared" si="36"/>
        <v>2304.1727316836491</v>
      </c>
      <c r="I88" s="150">
        <f t="shared" si="37"/>
        <v>33242.300000000003</v>
      </c>
      <c r="J88" s="105">
        <f t="shared" si="38"/>
        <v>7</v>
      </c>
      <c r="K88" s="151">
        <f t="shared" si="39"/>
        <v>329.16753309766409</v>
      </c>
      <c r="L88" s="143">
        <f>SUM(F88:F90)</f>
        <v>3266</v>
      </c>
      <c r="M88" s="144"/>
      <c r="N88" s="15"/>
      <c r="P88" s="15"/>
      <c r="Q88" s="232" t="s">
        <v>184</v>
      </c>
      <c r="R88" s="233"/>
      <c r="S88" s="233"/>
      <c r="T88" s="234"/>
      <c r="U88" s="234"/>
      <c r="V88" s="235"/>
      <c r="W88" s="236">
        <v>500000</v>
      </c>
      <c r="X88" s="212"/>
      <c r="Y88" s="104"/>
      <c r="Z88" s="104"/>
      <c r="AA88" s="212"/>
    </row>
    <row r="89" spans="1:27" x14ac:dyDescent="0.25">
      <c r="A89" s="222" t="s">
        <v>185</v>
      </c>
      <c r="B89" s="231">
        <v>30.6</v>
      </c>
      <c r="C89" s="224">
        <f t="shared" si="32"/>
        <v>0.47147058823529409</v>
      </c>
      <c r="D89" s="225">
        <f t="shared" si="33"/>
        <v>516.26029411764694</v>
      </c>
      <c r="E89" s="102">
        <f t="shared" si="34"/>
        <v>2.1210230817217717</v>
      </c>
      <c r="F89" s="148">
        <v>411</v>
      </c>
      <c r="G89" s="149">
        <f t="shared" si="35"/>
        <v>1.1260273972602739</v>
      </c>
      <c r="H89" s="150">
        <f t="shared" si="36"/>
        <v>871.74048658764821</v>
      </c>
      <c r="I89" s="150">
        <f t="shared" si="37"/>
        <v>12576.6</v>
      </c>
      <c r="J89" s="105">
        <f t="shared" si="38"/>
        <v>3</v>
      </c>
      <c r="K89" s="151">
        <f t="shared" si="39"/>
        <v>290.58016219588274</v>
      </c>
      <c r="M89" s="144"/>
      <c r="N89" s="15"/>
      <c r="P89" s="15"/>
      <c r="Q89" s="128" t="s">
        <v>186</v>
      </c>
      <c r="R89" s="15"/>
      <c r="S89" s="15"/>
      <c r="T89" s="230"/>
      <c r="U89" s="230"/>
      <c r="V89" s="211"/>
      <c r="W89" s="104">
        <v>5000</v>
      </c>
      <c r="X89" s="212"/>
      <c r="Y89" s="104"/>
      <c r="Z89" s="104">
        <v>5000</v>
      </c>
      <c r="AA89" s="212"/>
    </row>
    <row r="90" spans="1:27" ht="15.75" thickBot="1" x14ac:dyDescent="0.3">
      <c r="A90" s="227" t="s">
        <v>187</v>
      </c>
      <c r="B90" s="237">
        <v>26.5</v>
      </c>
      <c r="C90" s="224">
        <f t="shared" si="32"/>
        <v>0.54441509433962265</v>
      </c>
      <c r="D90" s="225">
        <f t="shared" si="33"/>
        <v>1788.4035849056604</v>
      </c>
      <c r="E90" s="102">
        <f t="shared" si="34"/>
        <v>1.8368337145629723</v>
      </c>
      <c r="F90" s="158">
        <v>1672</v>
      </c>
      <c r="G90" s="159">
        <f t="shared" si="35"/>
        <v>4.580821917808219</v>
      </c>
      <c r="H90" s="150">
        <f t="shared" si="36"/>
        <v>3071.1859707492895</v>
      </c>
      <c r="I90" s="150">
        <f t="shared" si="37"/>
        <v>44308</v>
      </c>
      <c r="J90" s="105">
        <f t="shared" si="38"/>
        <v>9</v>
      </c>
      <c r="K90" s="151">
        <f t="shared" si="39"/>
        <v>341.24288563880998</v>
      </c>
      <c r="M90" s="144"/>
      <c r="P90" s="15"/>
      <c r="Q90" s="128" t="s">
        <v>188</v>
      </c>
      <c r="R90" s="15"/>
      <c r="S90" s="15"/>
      <c r="T90" s="230"/>
      <c r="U90" s="230"/>
      <c r="V90" s="211"/>
      <c r="W90" s="104">
        <v>7500</v>
      </c>
      <c r="X90" s="212"/>
      <c r="Y90" s="104"/>
      <c r="Z90" s="104">
        <v>7500</v>
      </c>
      <c r="AA90" s="212"/>
    </row>
    <row r="91" spans="1:27" x14ac:dyDescent="0.25">
      <c r="A91" s="133" t="s">
        <v>189</v>
      </c>
      <c r="B91" s="134">
        <v>46.83</v>
      </c>
      <c r="C91" s="220">
        <f t="shared" si="32"/>
        <v>0.30807174887892375</v>
      </c>
      <c r="D91" s="221">
        <f t="shared" si="33"/>
        <v>1461.8004484304931</v>
      </c>
      <c r="E91" s="137">
        <f t="shared" si="34"/>
        <v>3.2459970887918486</v>
      </c>
      <c r="F91" s="138">
        <v>1405</v>
      </c>
      <c r="G91" s="139">
        <f t="shared" si="35"/>
        <v>3.8493150684931505</v>
      </c>
      <c r="H91" s="140">
        <f t="shared" si="36"/>
        <v>4560.6259097525472</v>
      </c>
      <c r="I91" s="140">
        <f t="shared" si="37"/>
        <v>65796.149999999994</v>
      </c>
      <c r="J91" s="141">
        <f t="shared" si="38"/>
        <v>13</v>
      </c>
      <c r="K91" s="142">
        <f t="shared" si="39"/>
        <v>350.81737767327286</v>
      </c>
      <c r="L91" s="143">
        <f>SUM(F91:F95)</f>
        <v>4649</v>
      </c>
      <c r="M91" s="144"/>
      <c r="N91" s="15"/>
      <c r="P91" s="15"/>
      <c r="Q91" s="128" t="s">
        <v>190</v>
      </c>
      <c r="R91" s="15"/>
      <c r="S91" s="15"/>
      <c r="T91" s="230"/>
      <c r="U91" s="230"/>
      <c r="V91" s="211"/>
      <c r="W91" s="104">
        <v>10000</v>
      </c>
      <c r="X91" s="212"/>
      <c r="Y91" s="91"/>
      <c r="Z91" s="104">
        <v>10000</v>
      </c>
      <c r="AA91" s="212"/>
    </row>
    <row r="92" spans="1:27" x14ac:dyDescent="0.25">
      <c r="A92" s="145" t="s">
        <v>172</v>
      </c>
      <c r="B92" s="223">
        <v>90.63</v>
      </c>
      <c r="C92" s="224">
        <f t="shared" si="32"/>
        <v>0.15918570009930488</v>
      </c>
      <c r="D92" s="225">
        <f t="shared" si="33"/>
        <v>522.92502482621649</v>
      </c>
      <c r="E92" s="102">
        <f t="shared" si="34"/>
        <v>6.2819713038053644</v>
      </c>
      <c r="F92" s="148">
        <v>504</v>
      </c>
      <c r="G92" s="149">
        <f t="shared" si="35"/>
        <v>1.3808219178082193</v>
      </c>
      <c r="H92" s="150">
        <f t="shared" si="36"/>
        <v>3166.1135371179039</v>
      </c>
      <c r="I92" s="150">
        <f t="shared" si="37"/>
        <v>45677.52</v>
      </c>
      <c r="J92" s="105">
        <f t="shared" si="38"/>
        <v>9</v>
      </c>
      <c r="K92" s="151">
        <f t="shared" si="39"/>
        <v>351.79039301310041</v>
      </c>
      <c r="M92" s="144"/>
      <c r="N92" s="15"/>
      <c r="P92" s="15"/>
      <c r="Q92" s="128" t="s">
        <v>191</v>
      </c>
      <c r="R92" s="15"/>
      <c r="S92" s="15"/>
      <c r="T92" s="230"/>
      <c r="U92" s="230"/>
      <c r="V92" s="216"/>
      <c r="W92" s="104">
        <v>10000</v>
      </c>
      <c r="Y92" s="104"/>
      <c r="Z92" s="104">
        <v>10000</v>
      </c>
    </row>
    <row r="93" spans="1:27" x14ac:dyDescent="0.25">
      <c r="A93" s="145" t="s">
        <v>192</v>
      </c>
      <c r="B93" s="223">
        <v>90.63</v>
      </c>
      <c r="C93" s="224">
        <f t="shared" si="32"/>
        <v>0.15918570009930488</v>
      </c>
      <c r="D93" s="225">
        <f t="shared" si="33"/>
        <v>464.82224428997017</v>
      </c>
      <c r="E93" s="102">
        <f t="shared" si="34"/>
        <v>6.2819713038053644</v>
      </c>
      <c r="F93" s="148">
        <v>415</v>
      </c>
      <c r="G93" s="149">
        <f t="shared" si="35"/>
        <v>1.1369863013698631</v>
      </c>
      <c r="H93" s="150">
        <f t="shared" si="36"/>
        <v>2607.0180910792265</v>
      </c>
      <c r="I93" s="150">
        <f t="shared" si="37"/>
        <v>37611.449999999997</v>
      </c>
      <c r="J93" s="105">
        <f t="shared" si="38"/>
        <v>8</v>
      </c>
      <c r="K93" s="151">
        <f t="shared" si="39"/>
        <v>325.87726138490331</v>
      </c>
      <c r="M93" s="144"/>
      <c r="N93" s="15"/>
      <c r="P93" s="15"/>
      <c r="Q93" s="128" t="s">
        <v>193</v>
      </c>
      <c r="R93" s="15"/>
      <c r="S93" s="15"/>
      <c r="T93" s="230"/>
      <c r="U93" s="230"/>
      <c r="V93" s="216"/>
      <c r="W93" s="209">
        <v>12800</v>
      </c>
      <c r="X93" s="7"/>
      <c r="Y93" s="209"/>
      <c r="Z93" s="205">
        <v>8000</v>
      </c>
    </row>
    <row r="94" spans="1:27" x14ac:dyDescent="0.25">
      <c r="A94" s="145" t="s">
        <v>176</v>
      </c>
      <c r="B94" s="231">
        <v>54</v>
      </c>
      <c r="C94" s="224">
        <f t="shared" si="32"/>
        <v>0.26716666666666666</v>
      </c>
      <c r="D94" s="225">
        <f t="shared" si="33"/>
        <v>2242.8641666666667</v>
      </c>
      <c r="E94" s="102">
        <f t="shared" si="34"/>
        <v>3.7429819089207736</v>
      </c>
      <c r="F94" s="148">
        <v>2160</v>
      </c>
      <c r="G94" s="149">
        <f t="shared" si="35"/>
        <v>5.9178082191780819</v>
      </c>
      <c r="H94" s="150">
        <f t="shared" si="36"/>
        <v>8084.8409232688709</v>
      </c>
      <c r="I94" s="150">
        <f t="shared" si="37"/>
        <v>116640</v>
      </c>
      <c r="J94" s="105">
        <f t="shared" si="38"/>
        <v>23</v>
      </c>
      <c r="K94" s="151">
        <f t="shared" si="39"/>
        <v>351.51482275082049</v>
      </c>
      <c r="M94" s="144"/>
      <c r="N94" s="15"/>
      <c r="P94" s="15"/>
      <c r="Q94" s="128" t="s">
        <v>194</v>
      </c>
      <c r="R94" s="15"/>
      <c r="S94" s="15"/>
      <c r="T94" s="230"/>
      <c r="U94" s="230"/>
      <c r="V94" s="216"/>
      <c r="W94" s="209">
        <v>12000</v>
      </c>
      <c r="X94" s="7"/>
      <c r="Y94" s="209"/>
      <c r="Z94" s="205">
        <v>8000</v>
      </c>
    </row>
    <row r="95" spans="1:27" ht="15.75" thickBot="1" x14ac:dyDescent="0.3">
      <c r="A95" s="154" t="s">
        <v>195</v>
      </c>
      <c r="B95" s="237">
        <v>55.4</v>
      </c>
      <c r="C95" s="228">
        <f t="shared" si="32"/>
        <v>0.26041516245487367</v>
      </c>
      <c r="D95" s="229">
        <f t="shared" si="33"/>
        <v>190.10306859205775</v>
      </c>
      <c r="E95" s="157">
        <f t="shared" si="34"/>
        <v>3.8400221806335342</v>
      </c>
      <c r="F95" s="158">
        <v>165</v>
      </c>
      <c r="G95" s="159">
        <f t="shared" si="35"/>
        <v>0.45205479452054792</v>
      </c>
      <c r="H95" s="160">
        <f t="shared" si="36"/>
        <v>633.60365980453321</v>
      </c>
      <c r="I95" s="160">
        <f t="shared" si="37"/>
        <v>9141</v>
      </c>
      <c r="J95" s="161">
        <f t="shared" si="38"/>
        <v>2</v>
      </c>
      <c r="K95" s="162">
        <f t="shared" si="39"/>
        <v>316.8018299022666</v>
      </c>
      <c r="M95" s="144"/>
      <c r="N95" s="15"/>
      <c r="P95" s="15"/>
      <c r="Q95" s="128" t="s">
        <v>196</v>
      </c>
      <c r="R95" s="15"/>
      <c r="S95" s="15"/>
      <c r="T95" s="230"/>
      <c r="U95" s="230"/>
      <c r="V95" s="216"/>
      <c r="W95" s="209">
        <v>7000</v>
      </c>
      <c r="X95" s="7"/>
      <c r="Y95" s="209"/>
      <c r="Z95" s="205">
        <v>16000</v>
      </c>
    </row>
    <row r="96" spans="1:27" x14ac:dyDescent="0.25">
      <c r="A96" s="133" t="s">
        <v>197</v>
      </c>
      <c r="B96" s="134">
        <v>27.9</v>
      </c>
      <c r="C96" s="220">
        <f t="shared" si="32"/>
        <v>0.51709677419354838</v>
      </c>
      <c r="D96" s="221">
        <f t="shared" si="33"/>
        <v>377.48064516129028</v>
      </c>
      <c r="E96" s="137">
        <f t="shared" si="34"/>
        <v>1.933873986275733</v>
      </c>
      <c r="F96" s="138">
        <v>284</v>
      </c>
      <c r="G96" s="139">
        <f t="shared" si="35"/>
        <v>0.77808219178082194</v>
      </c>
      <c r="H96" s="140">
        <f t="shared" si="36"/>
        <v>549.2202121023081</v>
      </c>
      <c r="I96" s="140">
        <f t="shared" si="37"/>
        <v>7923.5999999999995</v>
      </c>
      <c r="J96" s="141">
        <f t="shared" si="38"/>
        <v>2</v>
      </c>
      <c r="K96" s="142">
        <f t="shared" si="39"/>
        <v>274.61010605115405</v>
      </c>
      <c r="L96" s="143">
        <f>SUM(F96:F98)</f>
        <v>1447</v>
      </c>
      <c r="M96" s="144"/>
      <c r="N96" s="15"/>
      <c r="P96" s="15"/>
      <c r="Q96" s="128" t="s">
        <v>198</v>
      </c>
      <c r="R96" s="15"/>
      <c r="S96" s="15"/>
      <c r="T96" s="230"/>
      <c r="U96" s="230"/>
      <c r="V96" s="216"/>
      <c r="W96" s="209">
        <v>10000</v>
      </c>
      <c r="X96" s="7"/>
      <c r="Y96" s="209"/>
      <c r="Z96" s="205">
        <v>5000</v>
      </c>
    </row>
    <row r="97" spans="1:27" x14ac:dyDescent="0.25">
      <c r="A97" s="145" t="s">
        <v>199</v>
      </c>
      <c r="B97" s="223">
        <v>48.5</v>
      </c>
      <c r="C97" s="224">
        <f t="shared" si="32"/>
        <v>0.29746391752577317</v>
      </c>
      <c r="D97" s="225">
        <f t="shared" si="33"/>
        <v>868.59463917525761</v>
      </c>
      <c r="E97" s="102">
        <f t="shared" si="34"/>
        <v>3.3617522700492133</v>
      </c>
      <c r="F97" s="148">
        <v>833</v>
      </c>
      <c r="G97" s="149">
        <f t="shared" si="35"/>
        <v>2.2821917808219179</v>
      </c>
      <c r="H97" s="150">
        <f t="shared" si="36"/>
        <v>2800.3396409509946</v>
      </c>
      <c r="I97" s="150">
        <f t="shared" si="37"/>
        <v>40400.5</v>
      </c>
      <c r="J97" s="105">
        <f t="shared" si="38"/>
        <v>8</v>
      </c>
      <c r="K97" s="151">
        <f t="shared" si="39"/>
        <v>350.04245511887433</v>
      </c>
      <c r="M97" s="144"/>
      <c r="N97" s="15"/>
      <c r="P97" s="15"/>
      <c r="Q97" s="128" t="s">
        <v>200</v>
      </c>
      <c r="R97" s="15"/>
      <c r="S97" s="15"/>
      <c r="T97" s="230"/>
      <c r="U97" s="230"/>
      <c r="V97" s="216"/>
      <c r="W97" s="209">
        <v>10000</v>
      </c>
      <c r="X97" s="7"/>
      <c r="Y97" s="209"/>
      <c r="Z97" s="205">
        <v>5000</v>
      </c>
    </row>
    <row r="98" spans="1:27" ht="15.75" thickBot="1" x14ac:dyDescent="0.3">
      <c r="A98" s="154" t="s">
        <v>201</v>
      </c>
      <c r="B98" s="175">
        <v>70</v>
      </c>
      <c r="C98" s="228">
        <f t="shared" si="32"/>
        <v>0.20610000000000001</v>
      </c>
      <c r="D98" s="229">
        <f t="shared" si="33"/>
        <v>376.13249999999999</v>
      </c>
      <c r="E98" s="157">
        <f t="shared" si="34"/>
        <v>4.8520135856380397</v>
      </c>
      <c r="F98" s="158">
        <v>330</v>
      </c>
      <c r="G98" s="159">
        <f t="shared" si="35"/>
        <v>0.90410958904109584</v>
      </c>
      <c r="H98" s="160">
        <f t="shared" si="36"/>
        <v>1601.1644832605532</v>
      </c>
      <c r="I98" s="160">
        <f t="shared" si="37"/>
        <v>23100</v>
      </c>
      <c r="J98" s="161">
        <f t="shared" si="38"/>
        <v>5</v>
      </c>
      <c r="K98" s="162">
        <f t="shared" si="39"/>
        <v>320.23289665211064</v>
      </c>
      <c r="M98" s="144"/>
      <c r="N98" s="15"/>
      <c r="P98" s="15"/>
      <c r="Q98" s="128" t="s">
        <v>202</v>
      </c>
      <c r="R98" s="15"/>
      <c r="S98" s="15"/>
      <c r="T98" s="230"/>
      <c r="U98" s="230"/>
      <c r="V98" s="216"/>
      <c r="W98" s="104">
        <v>10000</v>
      </c>
      <c r="Y98" s="104"/>
      <c r="Z98" s="104">
        <v>10000</v>
      </c>
    </row>
    <row r="99" spans="1:27" ht="15.75" thickBot="1" x14ac:dyDescent="0.3">
      <c r="A99" s="154" t="s">
        <v>203</v>
      </c>
      <c r="B99" s="155">
        <v>52.2</v>
      </c>
      <c r="C99" s="228">
        <f t="shared" si="32"/>
        <v>0.27637931034482754</v>
      </c>
      <c r="D99" s="229">
        <f t="shared" si="33"/>
        <v>1109.6629310344827</v>
      </c>
      <c r="E99" s="157">
        <f t="shared" si="34"/>
        <v>3.6182158452900812</v>
      </c>
      <c r="F99" s="158">
        <v>1028</v>
      </c>
      <c r="G99" s="159">
        <f t="shared" si="35"/>
        <v>2.8164383561643835</v>
      </c>
      <c r="H99" s="160">
        <f t="shared" si="36"/>
        <v>3719.5258889582037</v>
      </c>
      <c r="I99" s="160">
        <f t="shared" si="37"/>
        <v>53661.600000000006</v>
      </c>
      <c r="J99" s="161">
        <f t="shared" si="38"/>
        <v>11</v>
      </c>
      <c r="K99" s="162">
        <f t="shared" si="39"/>
        <v>338.13871717801851</v>
      </c>
      <c r="L99" s="143">
        <f>SUM(F99)</f>
        <v>1028</v>
      </c>
      <c r="M99" s="144"/>
      <c r="N99" s="15"/>
      <c r="P99" s="15"/>
      <c r="Q99" s="128" t="s">
        <v>204</v>
      </c>
      <c r="R99" s="15"/>
      <c r="S99" s="15"/>
      <c r="T99" s="230"/>
      <c r="U99" s="230"/>
      <c r="V99" s="216"/>
      <c r="W99" s="104">
        <v>7600</v>
      </c>
      <c r="Y99" s="104"/>
      <c r="Z99" s="104">
        <v>7600</v>
      </c>
    </row>
    <row r="100" spans="1:27" x14ac:dyDescent="0.25">
      <c r="B100" s="15"/>
      <c r="C100" s="15"/>
      <c r="D100" s="116"/>
      <c r="E100" s="15"/>
      <c r="F100" s="103">
        <f>SUM(F80:F99)</f>
        <v>20449</v>
      </c>
      <c r="G100" s="238">
        <f>SUM(G82:G89)</f>
        <v>9.5041095890410947</v>
      </c>
      <c r="H100" s="15"/>
      <c r="I100" s="189">
        <f>SUM(I82:I99)</f>
        <v>575731.17000000004</v>
      </c>
      <c r="J100" s="190">
        <f>SUM(J82:J99)</f>
        <v>120</v>
      </c>
      <c r="K100" s="15"/>
      <c r="L100" s="15"/>
      <c r="M100" s="122"/>
      <c r="N100" s="22"/>
      <c r="Q100" s="128" t="s">
        <v>205</v>
      </c>
      <c r="R100" s="15"/>
      <c r="S100" s="15"/>
      <c r="T100" s="230"/>
      <c r="U100" s="230"/>
      <c r="V100" s="216"/>
      <c r="W100" s="209">
        <v>40000</v>
      </c>
      <c r="X100" s="209">
        <v>20000</v>
      </c>
      <c r="Y100" s="104"/>
      <c r="Z100" s="209">
        <v>40000</v>
      </c>
      <c r="AA100" s="209">
        <v>20000</v>
      </c>
    </row>
    <row r="101" spans="1:27" x14ac:dyDescent="0.25">
      <c r="B101" s="15"/>
      <c r="C101" s="15"/>
      <c r="D101" s="116"/>
      <c r="E101" s="22"/>
      <c r="F101" s="22"/>
      <c r="G101" s="15"/>
      <c r="H101" s="15"/>
      <c r="I101" s="15"/>
      <c r="J101" s="15"/>
      <c r="K101" s="15"/>
      <c r="L101" s="15"/>
      <c r="M101" s="15"/>
      <c r="N101" s="15"/>
      <c r="Q101" s="128" t="s">
        <v>206</v>
      </c>
      <c r="R101" s="15"/>
      <c r="S101" s="15"/>
      <c r="T101" s="230"/>
      <c r="U101" s="230"/>
      <c r="V101" s="216"/>
      <c r="W101" s="209">
        <v>25000</v>
      </c>
      <c r="X101" s="209">
        <v>12500</v>
      </c>
      <c r="Y101" s="104"/>
      <c r="Z101" s="209">
        <v>25000</v>
      </c>
      <c r="AA101" s="209">
        <v>12500</v>
      </c>
    </row>
    <row r="102" spans="1:27" x14ac:dyDescent="0.25">
      <c r="D102" s="239"/>
      <c r="Q102" s="128" t="s">
        <v>207</v>
      </c>
      <c r="R102" s="15"/>
      <c r="S102" s="15"/>
      <c r="T102" s="230"/>
      <c r="U102" s="230"/>
      <c r="V102" s="216"/>
      <c r="W102" s="209">
        <v>30000</v>
      </c>
      <c r="X102" s="209">
        <v>15000</v>
      </c>
      <c r="Y102" s="104"/>
      <c r="Z102" s="209">
        <v>30000</v>
      </c>
      <c r="AA102" s="209">
        <v>15000</v>
      </c>
    </row>
    <row r="103" spans="1:27" ht="15.75" thickBot="1" x14ac:dyDescent="0.3">
      <c r="A103" s="125">
        <v>1944</v>
      </c>
      <c r="B103" s="15"/>
      <c r="C103" s="15"/>
      <c r="D103" s="116"/>
      <c r="E103" s="91" t="s">
        <v>61</v>
      </c>
      <c r="F103" s="99" t="s">
        <v>62</v>
      </c>
      <c r="G103" s="99" t="s">
        <v>99</v>
      </c>
      <c r="H103" s="129" t="s">
        <v>63</v>
      </c>
      <c r="I103" s="129"/>
      <c r="J103" s="100" t="s">
        <v>64</v>
      </c>
      <c r="K103" s="91" t="s">
        <v>66</v>
      </c>
      <c r="M103" s="132"/>
      <c r="N103" s="15"/>
      <c r="Q103" s="128" t="s">
        <v>208</v>
      </c>
      <c r="R103" s="15"/>
      <c r="S103" s="15"/>
      <c r="T103" s="230"/>
      <c r="U103" s="230"/>
      <c r="V103" s="216"/>
      <c r="W103" s="209">
        <v>30000</v>
      </c>
      <c r="X103" s="209">
        <v>15000</v>
      </c>
      <c r="Y103" s="104"/>
      <c r="Z103" s="209">
        <v>30000</v>
      </c>
      <c r="AA103" s="209">
        <v>15000</v>
      </c>
    </row>
    <row r="104" spans="1:27" x14ac:dyDescent="0.25">
      <c r="A104" s="133" t="s">
        <v>209</v>
      </c>
      <c r="B104" s="134">
        <v>26.1</v>
      </c>
      <c r="C104" s="220">
        <f t="shared" ref="C104:C123" si="40">SUM($H$17/B104)</f>
        <v>0.55275862068965509</v>
      </c>
      <c r="D104" s="221">
        <f t="shared" ref="D104:D123" si="41">SUM(($H$17*J104*365)/B104)</f>
        <v>12912.441379310343</v>
      </c>
      <c r="E104" s="137">
        <f t="shared" ref="E104:E123" si="42">SUM(B104/$H$17)</f>
        <v>1.8091079226450406</v>
      </c>
      <c r="F104" s="138">
        <v>12807</v>
      </c>
      <c r="G104" s="139">
        <f t="shared" ref="G104:G123" si="43">SUM(F104/365)</f>
        <v>35.087671232876716</v>
      </c>
      <c r="H104" s="140">
        <f t="shared" ref="H104:H123" si="44">SUM(F104*B104)/$H$17</f>
        <v>23169.245165315035</v>
      </c>
      <c r="I104" s="140">
        <f t="shared" ref="I104:I123" si="45">SUM(B104*F104)</f>
        <v>334262.7</v>
      </c>
      <c r="J104" s="141">
        <f t="shared" ref="J104:J123" si="46">ROUNDUP(((F104*B104)/$H$17)/365,0)</f>
        <v>64</v>
      </c>
      <c r="K104" s="142">
        <f t="shared" ref="K104:K123" si="47">SUM((F104*B104)/($H$17*J104))</f>
        <v>362.01945570804742</v>
      </c>
      <c r="L104" s="143">
        <f>SUM(F104:F113)</f>
        <v>24932</v>
      </c>
      <c r="M104" s="144"/>
      <c r="N104" s="15"/>
      <c r="Q104" s="128" t="s">
        <v>210</v>
      </c>
      <c r="R104" s="15"/>
      <c r="S104" s="15"/>
      <c r="T104" s="230"/>
      <c r="U104" s="230"/>
      <c r="V104" s="216"/>
      <c r="W104" s="209">
        <v>30000</v>
      </c>
      <c r="X104" s="209">
        <v>15000</v>
      </c>
      <c r="Y104" s="104"/>
      <c r="Z104" s="209">
        <v>30000</v>
      </c>
      <c r="AA104" s="209">
        <v>15000</v>
      </c>
    </row>
    <row r="105" spans="1:27" x14ac:dyDescent="0.25">
      <c r="A105" s="145" t="s">
        <v>170</v>
      </c>
      <c r="B105" s="223">
        <v>28.3</v>
      </c>
      <c r="C105" s="224">
        <f t="shared" si="40"/>
        <v>0.50978798586572438</v>
      </c>
      <c r="D105" s="225">
        <f t="shared" si="41"/>
        <v>7628.9772084805645</v>
      </c>
      <c r="E105" s="102">
        <f t="shared" si="42"/>
        <v>1.9615997781936647</v>
      </c>
      <c r="F105" s="148">
        <v>7488</v>
      </c>
      <c r="G105" s="149">
        <f t="shared" si="43"/>
        <v>20.515068493150686</v>
      </c>
      <c r="H105" s="150">
        <f t="shared" si="44"/>
        <v>14688.45913911416</v>
      </c>
      <c r="I105" s="150">
        <f t="shared" si="45"/>
        <v>211910.39999999999</v>
      </c>
      <c r="J105" s="105">
        <f t="shared" si="46"/>
        <v>41</v>
      </c>
      <c r="K105" s="151">
        <f t="shared" si="47"/>
        <v>358.25510095400392</v>
      </c>
      <c r="M105" s="144"/>
      <c r="N105" s="15"/>
      <c r="Q105" s="128" t="s">
        <v>211</v>
      </c>
      <c r="R105" s="15"/>
      <c r="S105" s="15"/>
      <c r="T105" s="230"/>
      <c r="U105" s="230"/>
      <c r="V105" s="216"/>
      <c r="W105" s="104">
        <v>60000</v>
      </c>
      <c r="X105" s="104"/>
      <c r="Y105" s="104"/>
      <c r="Z105" s="104">
        <v>60000</v>
      </c>
      <c r="AA105" s="104"/>
    </row>
    <row r="106" spans="1:27" x14ac:dyDescent="0.25">
      <c r="A106" s="145" t="s">
        <v>172</v>
      </c>
      <c r="B106" s="223">
        <v>47.78</v>
      </c>
      <c r="C106" s="224">
        <f t="shared" si="40"/>
        <v>0.30194642109669317</v>
      </c>
      <c r="D106" s="225">
        <f t="shared" si="41"/>
        <v>220.420887400586</v>
      </c>
      <c r="E106" s="102">
        <f t="shared" si="42"/>
        <v>3.3118458445969363</v>
      </c>
      <c r="F106" s="148">
        <v>207</v>
      </c>
      <c r="G106" s="149">
        <f t="shared" si="43"/>
        <v>0.56712328767123288</v>
      </c>
      <c r="H106" s="150">
        <f t="shared" si="44"/>
        <v>685.55208983156592</v>
      </c>
      <c r="I106" s="150">
        <f t="shared" si="45"/>
        <v>9890.4600000000009</v>
      </c>
      <c r="J106" s="105">
        <f t="shared" si="46"/>
        <v>2</v>
      </c>
      <c r="K106" s="151">
        <f t="shared" si="47"/>
        <v>342.77604491578296</v>
      </c>
      <c r="M106" s="144"/>
      <c r="N106" s="15"/>
      <c r="Q106" s="128"/>
      <c r="R106" s="15"/>
      <c r="S106" s="15"/>
      <c r="T106" s="230"/>
      <c r="U106" s="230"/>
      <c r="V106" s="216"/>
      <c r="W106" s="104"/>
      <c r="X106" s="104"/>
      <c r="Y106" s="104"/>
      <c r="Z106" s="104"/>
      <c r="AA106" s="104"/>
    </row>
    <row r="107" spans="1:27" x14ac:dyDescent="0.25">
      <c r="A107" s="145" t="s">
        <v>174</v>
      </c>
      <c r="B107" s="223">
        <v>51.2</v>
      </c>
      <c r="C107" s="224">
        <f t="shared" si="40"/>
        <v>0.28177734374999996</v>
      </c>
      <c r="D107" s="225">
        <f t="shared" si="41"/>
        <v>205.69746093749998</v>
      </c>
      <c r="E107" s="102">
        <f t="shared" si="42"/>
        <v>3.5489013654952521</v>
      </c>
      <c r="F107" s="148">
        <v>195</v>
      </c>
      <c r="G107" s="149">
        <f t="shared" si="43"/>
        <v>0.53424657534246578</v>
      </c>
      <c r="H107" s="150">
        <f t="shared" si="44"/>
        <v>692.03576627157418</v>
      </c>
      <c r="I107" s="150">
        <f t="shared" si="45"/>
        <v>9984</v>
      </c>
      <c r="J107" s="105">
        <f t="shared" si="46"/>
        <v>2</v>
      </c>
      <c r="K107" s="151">
        <f t="shared" si="47"/>
        <v>346.01788313578709</v>
      </c>
      <c r="M107" s="144"/>
      <c r="N107" s="15"/>
      <c r="Q107" s="128"/>
      <c r="R107" s="15"/>
      <c r="S107" s="15"/>
      <c r="T107" s="230"/>
      <c r="U107" s="230"/>
      <c r="V107" s="216"/>
      <c r="W107" s="104"/>
      <c r="X107" s="104"/>
      <c r="Y107" s="104"/>
      <c r="Z107" s="104"/>
      <c r="AA107" s="104"/>
    </row>
    <row r="108" spans="1:27" x14ac:dyDescent="0.25">
      <c r="A108" s="145" t="s">
        <v>176</v>
      </c>
      <c r="B108" s="223">
        <v>47.97</v>
      </c>
      <c r="C108" s="224">
        <f t="shared" si="40"/>
        <v>0.30075046904315195</v>
      </c>
      <c r="D108" s="225">
        <f t="shared" si="41"/>
        <v>2524.8001876172607</v>
      </c>
      <c r="E108" s="102">
        <f t="shared" si="42"/>
        <v>3.3250155957579537</v>
      </c>
      <c r="F108" s="148">
        <v>2513</v>
      </c>
      <c r="G108" s="149">
        <f t="shared" si="43"/>
        <v>6.8849315068493153</v>
      </c>
      <c r="H108" s="150">
        <f t="shared" si="44"/>
        <v>8355.764192139739</v>
      </c>
      <c r="I108" s="150">
        <f t="shared" si="45"/>
        <v>120548.61</v>
      </c>
      <c r="J108" s="105">
        <f t="shared" si="46"/>
        <v>23</v>
      </c>
      <c r="K108" s="151">
        <f t="shared" si="47"/>
        <v>363.29409531042342</v>
      </c>
      <c r="M108" s="144"/>
      <c r="N108" s="15"/>
      <c r="Q108" s="15"/>
      <c r="R108" s="15"/>
      <c r="S108" s="15"/>
      <c r="T108" s="15"/>
      <c r="U108" s="15"/>
    </row>
    <row r="109" spans="1:27" x14ac:dyDescent="0.25">
      <c r="A109" s="145" t="s">
        <v>178</v>
      </c>
      <c r="B109" s="223">
        <v>42.37</v>
      </c>
      <c r="C109" s="224">
        <f t="shared" si="40"/>
        <v>0.34050035402407364</v>
      </c>
      <c r="D109" s="225">
        <f t="shared" si="41"/>
        <v>248.56525843757376</v>
      </c>
      <c r="E109" s="102">
        <f t="shared" si="42"/>
        <v>2.9368545089069107</v>
      </c>
      <c r="F109" s="148">
        <v>128</v>
      </c>
      <c r="G109" s="149">
        <f t="shared" si="43"/>
        <v>0.35068493150684932</v>
      </c>
      <c r="H109" s="150">
        <f t="shared" si="44"/>
        <v>375.91737714008457</v>
      </c>
      <c r="I109" s="150">
        <f t="shared" si="45"/>
        <v>5423.36</v>
      </c>
      <c r="J109" s="105">
        <f t="shared" si="46"/>
        <v>2</v>
      </c>
      <c r="K109" s="151">
        <f t="shared" si="47"/>
        <v>187.95868857004228</v>
      </c>
      <c r="M109" s="144"/>
      <c r="N109" s="15"/>
      <c r="Q109" s="15"/>
      <c r="R109" s="15"/>
      <c r="S109" s="15"/>
      <c r="T109" s="15"/>
      <c r="U109" s="15"/>
    </row>
    <row r="110" spans="1:27" x14ac:dyDescent="0.25">
      <c r="A110" s="145" t="s">
        <v>212</v>
      </c>
      <c r="B110" s="223">
        <v>30.97</v>
      </c>
      <c r="C110" s="224">
        <f t="shared" si="40"/>
        <v>0.465837907652567</v>
      </c>
      <c r="D110" s="225">
        <f t="shared" si="41"/>
        <v>340.0616725863739</v>
      </c>
      <c r="E110" s="102">
        <f t="shared" si="42"/>
        <v>2.1466694392458585</v>
      </c>
      <c r="F110" s="148">
        <v>327</v>
      </c>
      <c r="G110" s="149">
        <f t="shared" si="43"/>
        <v>0.89589041095890409</v>
      </c>
      <c r="H110" s="150">
        <f t="shared" si="44"/>
        <v>701.96090663339578</v>
      </c>
      <c r="I110" s="150">
        <f t="shared" si="45"/>
        <v>10127.19</v>
      </c>
      <c r="J110" s="105">
        <f t="shared" si="46"/>
        <v>2</v>
      </c>
      <c r="K110" s="151">
        <f t="shared" si="47"/>
        <v>350.98045331669789</v>
      </c>
      <c r="M110" s="144"/>
      <c r="N110" s="15"/>
    </row>
    <row r="111" spans="1:27" x14ac:dyDescent="0.25">
      <c r="A111" s="145" t="s">
        <v>180</v>
      </c>
      <c r="B111" s="223">
        <v>44.65</v>
      </c>
      <c r="C111" s="224">
        <f t="shared" si="40"/>
        <v>0.32311310190369541</v>
      </c>
      <c r="D111" s="225">
        <f t="shared" si="41"/>
        <v>117.93628219484881</v>
      </c>
      <c r="E111" s="102">
        <f t="shared" si="42"/>
        <v>3.0948915228391209</v>
      </c>
      <c r="F111" s="148">
        <v>74</v>
      </c>
      <c r="G111" s="149">
        <f t="shared" si="43"/>
        <v>0.20273972602739726</v>
      </c>
      <c r="H111" s="150">
        <f t="shared" si="44"/>
        <v>229.02197269009497</v>
      </c>
      <c r="I111" s="150">
        <f t="shared" si="45"/>
        <v>3304.1</v>
      </c>
      <c r="J111" s="105">
        <f t="shared" si="46"/>
        <v>1</v>
      </c>
      <c r="K111" s="151">
        <f t="shared" si="47"/>
        <v>229.02197269009497</v>
      </c>
      <c r="M111" s="144"/>
      <c r="N111" s="15"/>
    </row>
    <row r="112" spans="1:27" x14ac:dyDescent="0.25">
      <c r="A112" s="145" t="s">
        <v>213</v>
      </c>
      <c r="B112" s="223">
        <v>40.75</v>
      </c>
      <c r="C112" s="224">
        <f t="shared" si="40"/>
        <v>0.35403680981595093</v>
      </c>
      <c r="D112" s="225">
        <f t="shared" si="41"/>
        <v>646.11717791411036</v>
      </c>
      <c r="E112" s="102">
        <f t="shared" si="42"/>
        <v>2.8245650516392877</v>
      </c>
      <c r="F112" s="148">
        <v>564</v>
      </c>
      <c r="G112" s="149">
        <f t="shared" si="43"/>
        <v>1.5452054794520549</v>
      </c>
      <c r="H112" s="150">
        <f t="shared" si="44"/>
        <v>1593.0546891245581</v>
      </c>
      <c r="I112" s="150">
        <f t="shared" si="45"/>
        <v>22983</v>
      </c>
      <c r="J112" s="105">
        <f t="shared" si="46"/>
        <v>5</v>
      </c>
      <c r="K112" s="151">
        <f t="shared" si="47"/>
        <v>318.61093782491167</v>
      </c>
      <c r="M112" s="144"/>
      <c r="N112" s="15"/>
    </row>
    <row r="113" spans="1:21" ht="15.75" thickBot="1" x14ac:dyDescent="0.3">
      <c r="A113" s="154" t="s">
        <v>182</v>
      </c>
      <c r="B113" s="155">
        <v>46.45</v>
      </c>
      <c r="C113" s="228">
        <f t="shared" si="40"/>
        <v>0.31059203444564043</v>
      </c>
      <c r="D113" s="229">
        <f t="shared" si="41"/>
        <v>680.19655543595252</v>
      </c>
      <c r="E113" s="157">
        <f t="shared" si="42"/>
        <v>3.2196575864698138</v>
      </c>
      <c r="F113" s="158">
        <v>629</v>
      </c>
      <c r="G113" s="159">
        <f t="shared" si="43"/>
        <v>1.7232876712328766</v>
      </c>
      <c r="H113" s="160">
        <f t="shared" si="44"/>
        <v>2025.164621889513</v>
      </c>
      <c r="I113" s="160">
        <f t="shared" si="45"/>
        <v>29217.050000000003</v>
      </c>
      <c r="J113" s="161">
        <f t="shared" si="46"/>
        <v>6</v>
      </c>
      <c r="K113" s="162">
        <f t="shared" si="47"/>
        <v>337.52743698158548</v>
      </c>
      <c r="M113" s="144"/>
      <c r="N113" s="15"/>
    </row>
    <row r="114" spans="1:21" x14ac:dyDescent="0.25">
      <c r="A114" s="145" t="s">
        <v>170</v>
      </c>
      <c r="B114" s="231">
        <v>28.1</v>
      </c>
      <c r="C114" s="224">
        <f t="shared" si="40"/>
        <v>0.51341637010676155</v>
      </c>
      <c r="D114" s="225">
        <f t="shared" si="41"/>
        <v>4310.1304270462633</v>
      </c>
      <c r="E114" s="102">
        <f t="shared" si="42"/>
        <v>1.947736882234699</v>
      </c>
      <c r="F114" s="148">
        <v>4279</v>
      </c>
      <c r="G114" s="149">
        <f t="shared" si="43"/>
        <v>11.723287671232876</v>
      </c>
      <c r="H114" s="150">
        <f t="shared" si="44"/>
        <v>8334.3661190822768</v>
      </c>
      <c r="I114" s="150">
        <f t="shared" si="45"/>
        <v>120239.90000000001</v>
      </c>
      <c r="J114" s="105">
        <f t="shared" si="46"/>
        <v>23</v>
      </c>
      <c r="K114" s="151">
        <f t="shared" si="47"/>
        <v>362.36374430792512</v>
      </c>
      <c r="L114" s="143">
        <f>SUM(F114:F116)</f>
        <v>5593</v>
      </c>
      <c r="M114" s="144"/>
      <c r="N114" s="15"/>
    </row>
    <row r="115" spans="1:21" x14ac:dyDescent="0.25">
      <c r="A115" s="145" t="s">
        <v>185</v>
      </c>
      <c r="B115" s="231">
        <v>30.6</v>
      </c>
      <c r="C115" s="224">
        <f t="shared" si="40"/>
        <v>0.47147058823529409</v>
      </c>
      <c r="D115" s="225">
        <f t="shared" si="41"/>
        <v>344.17352941176466</v>
      </c>
      <c r="E115" s="102">
        <f t="shared" si="42"/>
        <v>2.1210230817217717</v>
      </c>
      <c r="F115" s="148">
        <v>302</v>
      </c>
      <c r="G115" s="149">
        <f t="shared" si="43"/>
        <v>0.82739726027397265</v>
      </c>
      <c r="H115" s="150">
        <f t="shared" si="44"/>
        <v>640.54897067997513</v>
      </c>
      <c r="I115" s="150">
        <f t="shared" si="45"/>
        <v>9241.2000000000007</v>
      </c>
      <c r="J115" s="105">
        <f t="shared" si="46"/>
        <v>2</v>
      </c>
      <c r="K115" s="151">
        <f t="shared" si="47"/>
        <v>320.27448533998756</v>
      </c>
      <c r="M115" s="144"/>
      <c r="N115" s="15"/>
    </row>
    <row r="116" spans="1:21" ht="15.75" thickBot="1" x14ac:dyDescent="0.3">
      <c r="A116" s="154" t="s">
        <v>187</v>
      </c>
      <c r="B116" s="237">
        <v>26.5</v>
      </c>
      <c r="C116" s="224">
        <f t="shared" si="40"/>
        <v>0.54441509433962265</v>
      </c>
      <c r="D116" s="225">
        <f t="shared" si="41"/>
        <v>1192.2690566037734</v>
      </c>
      <c r="E116" s="102">
        <f t="shared" si="42"/>
        <v>1.8368337145629723</v>
      </c>
      <c r="F116" s="158">
        <v>1012</v>
      </c>
      <c r="G116" s="159">
        <f t="shared" si="43"/>
        <v>2.7726027397260276</v>
      </c>
      <c r="H116" s="150">
        <f t="shared" si="44"/>
        <v>1858.8757191377279</v>
      </c>
      <c r="I116" s="150">
        <f t="shared" si="45"/>
        <v>26818</v>
      </c>
      <c r="J116" s="105">
        <f t="shared" si="46"/>
        <v>6</v>
      </c>
      <c r="K116" s="151">
        <f t="shared" si="47"/>
        <v>309.81261985628799</v>
      </c>
      <c r="M116" s="144"/>
      <c r="N116" s="210"/>
    </row>
    <row r="117" spans="1:21" x14ac:dyDescent="0.25">
      <c r="A117" s="133" t="s">
        <v>189</v>
      </c>
      <c r="B117" s="134">
        <v>46.83</v>
      </c>
      <c r="C117" s="220">
        <f t="shared" si="40"/>
        <v>0.30807174887892375</v>
      </c>
      <c r="D117" s="221">
        <f t="shared" si="41"/>
        <v>787.12331838565024</v>
      </c>
      <c r="E117" s="137">
        <f t="shared" si="42"/>
        <v>3.2459970887918486</v>
      </c>
      <c r="F117" s="138">
        <v>756</v>
      </c>
      <c r="G117" s="139">
        <f t="shared" si="43"/>
        <v>2.0712328767123287</v>
      </c>
      <c r="H117" s="140">
        <f t="shared" si="44"/>
        <v>2453.9737991266375</v>
      </c>
      <c r="I117" s="140">
        <f t="shared" si="45"/>
        <v>35403.479999999996</v>
      </c>
      <c r="J117" s="141">
        <f t="shared" si="46"/>
        <v>7</v>
      </c>
      <c r="K117" s="142">
        <f t="shared" si="47"/>
        <v>350.56768558951961</v>
      </c>
      <c r="L117" s="143">
        <f>SUM(F117:F120)</f>
        <v>2283</v>
      </c>
      <c r="M117" s="144"/>
      <c r="N117" s="15"/>
    </row>
    <row r="118" spans="1:21" x14ac:dyDescent="0.25">
      <c r="A118" s="145" t="s">
        <v>192</v>
      </c>
      <c r="B118" s="223">
        <v>90.63</v>
      </c>
      <c r="C118" s="224">
        <f t="shared" si="40"/>
        <v>0.15918570009930488</v>
      </c>
      <c r="D118" s="225">
        <f t="shared" si="41"/>
        <v>581.02780536246269</v>
      </c>
      <c r="E118" s="102">
        <f t="shared" si="42"/>
        <v>6.2819713038053644</v>
      </c>
      <c r="F118" s="148">
        <v>565</v>
      </c>
      <c r="G118" s="149">
        <f t="shared" si="43"/>
        <v>1.547945205479452</v>
      </c>
      <c r="H118" s="150">
        <f t="shared" si="44"/>
        <v>3549.313786650031</v>
      </c>
      <c r="I118" s="150">
        <f t="shared" si="45"/>
        <v>51205.95</v>
      </c>
      <c r="J118" s="105">
        <f t="shared" si="46"/>
        <v>10</v>
      </c>
      <c r="K118" s="151">
        <f t="shared" si="47"/>
        <v>354.93137866500314</v>
      </c>
      <c r="M118" s="144"/>
      <c r="N118" s="15"/>
    </row>
    <row r="119" spans="1:21" x14ac:dyDescent="0.25">
      <c r="A119" s="145" t="s">
        <v>176</v>
      </c>
      <c r="B119" s="231">
        <v>54</v>
      </c>
      <c r="C119" s="224">
        <f t="shared" si="40"/>
        <v>0.26716666666666666</v>
      </c>
      <c r="D119" s="225">
        <f t="shared" si="41"/>
        <v>682.61083333333329</v>
      </c>
      <c r="E119" s="102">
        <f t="shared" si="42"/>
        <v>3.7429819089207736</v>
      </c>
      <c r="F119" s="148">
        <v>661</v>
      </c>
      <c r="G119" s="149">
        <f t="shared" si="43"/>
        <v>1.810958904109589</v>
      </c>
      <c r="H119" s="150">
        <f t="shared" si="44"/>
        <v>2474.1110417966315</v>
      </c>
      <c r="I119" s="150">
        <f t="shared" si="45"/>
        <v>35694</v>
      </c>
      <c r="J119" s="105">
        <f t="shared" si="46"/>
        <v>7</v>
      </c>
      <c r="K119" s="151">
        <f t="shared" si="47"/>
        <v>353.44443454237586</v>
      </c>
      <c r="M119" s="144"/>
      <c r="N119" s="15"/>
    </row>
    <row r="120" spans="1:21" ht="15.75" thickBot="1" x14ac:dyDescent="0.3">
      <c r="A120" s="154" t="s">
        <v>195</v>
      </c>
      <c r="B120" s="237">
        <v>55.4</v>
      </c>
      <c r="C120" s="228">
        <f t="shared" si="40"/>
        <v>0.26041516245487367</v>
      </c>
      <c r="D120" s="229">
        <f t="shared" si="41"/>
        <v>380.20613718411551</v>
      </c>
      <c r="E120" s="157">
        <f t="shared" si="42"/>
        <v>3.8400221806335342</v>
      </c>
      <c r="F120" s="158">
        <v>301</v>
      </c>
      <c r="G120" s="159">
        <f t="shared" si="43"/>
        <v>0.8246575342465754</v>
      </c>
      <c r="H120" s="160">
        <f t="shared" si="44"/>
        <v>1155.8466763706938</v>
      </c>
      <c r="I120" s="160">
        <f t="shared" si="45"/>
        <v>16675.399999999998</v>
      </c>
      <c r="J120" s="161">
        <f t="shared" si="46"/>
        <v>4</v>
      </c>
      <c r="K120" s="162">
        <f t="shared" si="47"/>
        <v>288.96166909267345</v>
      </c>
      <c r="M120" s="144"/>
      <c r="N120" s="15"/>
    </row>
    <row r="121" spans="1:21" x14ac:dyDescent="0.25">
      <c r="A121" s="133" t="s">
        <v>197</v>
      </c>
      <c r="B121" s="134">
        <v>27.9</v>
      </c>
      <c r="C121" s="220">
        <f t="shared" si="40"/>
        <v>0.51709677419354838</v>
      </c>
      <c r="D121" s="221">
        <f t="shared" si="41"/>
        <v>1132.441935483871</v>
      </c>
      <c r="E121" s="137">
        <f t="shared" si="42"/>
        <v>1.933873986275733</v>
      </c>
      <c r="F121" s="138">
        <v>979</v>
      </c>
      <c r="G121" s="139">
        <f t="shared" si="43"/>
        <v>2.6821917808219178</v>
      </c>
      <c r="H121" s="140">
        <f t="shared" si="44"/>
        <v>1893.2626325639426</v>
      </c>
      <c r="I121" s="140">
        <f t="shared" si="45"/>
        <v>27314.1</v>
      </c>
      <c r="J121" s="141">
        <f t="shared" si="46"/>
        <v>6</v>
      </c>
      <c r="K121" s="142">
        <f t="shared" si="47"/>
        <v>315.54377209399041</v>
      </c>
      <c r="L121" s="143">
        <f>SUM(F121:F123)</f>
        <v>2148</v>
      </c>
      <c r="M121" s="144"/>
      <c r="N121" s="15"/>
    </row>
    <row r="122" spans="1:21" x14ac:dyDescent="0.25">
      <c r="A122" s="145" t="s">
        <v>199</v>
      </c>
      <c r="B122" s="223">
        <v>48.5</v>
      </c>
      <c r="C122" s="224">
        <f t="shared" si="40"/>
        <v>0.29746391752577317</v>
      </c>
      <c r="D122" s="225">
        <f t="shared" si="41"/>
        <v>760.02030927835051</v>
      </c>
      <c r="E122" s="102">
        <f t="shared" si="42"/>
        <v>3.3617522700492133</v>
      </c>
      <c r="F122" s="148">
        <v>707</v>
      </c>
      <c r="G122" s="149">
        <f t="shared" si="43"/>
        <v>1.9369863013698629</v>
      </c>
      <c r="H122" s="150">
        <f t="shared" si="44"/>
        <v>2376.7588549247939</v>
      </c>
      <c r="I122" s="150">
        <f t="shared" si="45"/>
        <v>34289.5</v>
      </c>
      <c r="J122" s="105">
        <f t="shared" si="46"/>
        <v>7</v>
      </c>
      <c r="K122" s="151">
        <f t="shared" si="47"/>
        <v>339.53697927497052</v>
      </c>
      <c r="M122" s="144"/>
      <c r="N122" s="15"/>
    </row>
    <row r="123" spans="1:21" ht="15.75" thickBot="1" x14ac:dyDescent="0.3">
      <c r="A123" s="154" t="s">
        <v>203</v>
      </c>
      <c r="B123" s="155">
        <v>52.2</v>
      </c>
      <c r="C123" s="228">
        <f t="shared" si="40"/>
        <v>0.27637931034482754</v>
      </c>
      <c r="D123" s="229">
        <f t="shared" si="41"/>
        <v>504.39224137931029</v>
      </c>
      <c r="E123" s="157">
        <f t="shared" si="42"/>
        <v>3.6182158452900812</v>
      </c>
      <c r="F123" s="158">
        <v>462</v>
      </c>
      <c r="G123" s="159">
        <f t="shared" si="43"/>
        <v>1.2657534246575342</v>
      </c>
      <c r="H123" s="160">
        <f t="shared" si="44"/>
        <v>1671.6157205240177</v>
      </c>
      <c r="I123" s="160">
        <f t="shared" si="45"/>
        <v>24116.400000000001</v>
      </c>
      <c r="J123" s="161">
        <f t="shared" si="46"/>
        <v>5</v>
      </c>
      <c r="K123" s="162">
        <f t="shared" si="47"/>
        <v>334.32314410480353</v>
      </c>
      <c r="M123" s="144"/>
      <c r="N123" s="15"/>
    </row>
    <row r="124" spans="1:21" x14ac:dyDescent="0.25">
      <c r="B124" s="15"/>
      <c r="C124" s="15"/>
      <c r="D124" s="15"/>
      <c r="E124" s="15"/>
      <c r="F124" s="103">
        <f>SUM(F104:F123)</f>
        <v>34956</v>
      </c>
      <c r="G124" s="238">
        <f>SUM(G104:G113)</f>
        <v>68.30684931506849</v>
      </c>
      <c r="H124" s="15"/>
      <c r="I124" s="189">
        <f>SUM(I104:I123)</f>
        <v>1138648.7999999998</v>
      </c>
      <c r="J124" s="190">
        <f>SUM(J104:J123)</f>
        <v>225</v>
      </c>
      <c r="K124" s="15"/>
      <c r="L124" s="15"/>
      <c r="M124" s="122"/>
      <c r="N124" s="22"/>
    </row>
    <row r="125" spans="1:21" x14ac:dyDescent="0.25">
      <c r="B125" s="15"/>
      <c r="C125" s="15"/>
      <c r="D125" s="15"/>
      <c r="E125" s="22"/>
      <c r="F125" s="22"/>
      <c r="G125" s="15"/>
      <c r="H125" s="15"/>
      <c r="I125" s="15"/>
      <c r="J125" s="15"/>
      <c r="K125" s="15"/>
      <c r="L125" s="15"/>
      <c r="M125" s="15"/>
      <c r="N125" s="15"/>
    </row>
    <row r="126" spans="1:21" x14ac:dyDescent="0.25">
      <c r="U126" s="15"/>
    </row>
    <row r="137" spans="1:16" x14ac:dyDescent="0.25">
      <c r="A137" t="s">
        <v>214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28"/>
      <c r="L137" s="15"/>
      <c r="M137" s="15"/>
      <c r="N137" s="15"/>
      <c r="O137" s="15"/>
      <c r="P137" s="15"/>
    </row>
    <row r="138" spans="1:16" x14ac:dyDescent="0.25">
      <c r="A138" t="s">
        <v>215</v>
      </c>
      <c r="B138" s="89">
        <v>0.77</v>
      </c>
      <c r="C138" s="89"/>
      <c r="D138" s="89"/>
      <c r="E138" s="128" t="s">
        <v>216</v>
      </c>
      <c r="F138" s="15"/>
      <c r="G138" s="15"/>
      <c r="H138" s="15"/>
      <c r="I138" s="15"/>
      <c r="J138" s="15"/>
      <c r="K138" s="128"/>
      <c r="L138" s="15"/>
      <c r="M138" s="15"/>
      <c r="N138" s="15"/>
      <c r="O138" s="15"/>
      <c r="P138" s="15"/>
    </row>
    <row r="139" spans="1:16" x14ac:dyDescent="0.25">
      <c r="A139" t="s">
        <v>217</v>
      </c>
      <c r="B139" s="89">
        <v>0.66</v>
      </c>
      <c r="C139" s="89"/>
      <c r="D139" s="89"/>
      <c r="E139" s="15"/>
      <c r="F139" s="15"/>
      <c r="G139" s="15"/>
      <c r="H139" s="15"/>
      <c r="I139" s="15"/>
      <c r="J139" s="15"/>
      <c r="K139" s="128"/>
      <c r="L139" s="15"/>
      <c r="M139" s="15"/>
      <c r="N139" s="15"/>
      <c r="O139" s="15"/>
      <c r="P139" s="15"/>
    </row>
    <row r="140" spans="1:16" x14ac:dyDescent="0.25">
      <c r="A140" t="s">
        <v>218</v>
      </c>
      <c r="B140" s="89">
        <v>0.54</v>
      </c>
      <c r="C140" s="89"/>
      <c r="D140" s="89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x14ac:dyDescent="0.25">
      <c r="A141" t="s">
        <v>219</v>
      </c>
      <c r="B141" s="89">
        <v>0.54</v>
      </c>
      <c r="C141" s="89"/>
      <c r="D141" s="89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1:16" x14ac:dyDescent="0.25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1:16" x14ac:dyDescent="0.25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x14ac:dyDescent="0.25">
      <c r="A144" t="s">
        <v>220</v>
      </c>
      <c r="B144" s="15">
        <v>121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23" x14ac:dyDescent="0.25">
      <c r="A145" t="s">
        <v>221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23" x14ac:dyDescent="0.25">
      <c r="A146" t="s">
        <v>222</v>
      </c>
      <c r="B146" s="15">
        <v>251</v>
      </c>
      <c r="C146" s="15"/>
      <c r="D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1:23" x14ac:dyDescent="0.25">
      <c r="A147" t="s">
        <v>223</v>
      </c>
      <c r="B147" s="15">
        <v>294</v>
      </c>
      <c r="C147" s="15"/>
      <c r="D147" s="15"/>
      <c r="E147" s="128" t="s">
        <v>224</v>
      </c>
      <c r="F147" s="15"/>
      <c r="G147" s="15"/>
      <c r="H147" s="15"/>
      <c r="I147" s="15"/>
      <c r="J147" s="15"/>
      <c r="K147" s="15"/>
      <c r="L147" s="15"/>
      <c r="M147" s="15"/>
      <c r="N147" s="15"/>
    </row>
    <row r="148" spans="1:23" x14ac:dyDescent="0.25">
      <c r="A148" t="s">
        <v>225</v>
      </c>
      <c r="B148" s="15">
        <v>367</v>
      </c>
      <c r="C148" s="15"/>
      <c r="D148" s="15"/>
      <c r="E148" s="128" t="s">
        <v>224</v>
      </c>
      <c r="F148" s="15"/>
      <c r="G148" s="15"/>
      <c r="H148" s="15"/>
      <c r="I148" s="15"/>
      <c r="J148" s="15"/>
      <c r="K148" s="15"/>
      <c r="L148" s="15"/>
      <c r="M148" s="15"/>
      <c r="N148" s="15"/>
      <c r="V148" s="240">
        <f>SUM(AI15)</f>
        <v>6.6990000000000007</v>
      </c>
      <c r="W148" s="240">
        <f>SUM(AI17)</f>
        <v>22.031700000000004</v>
      </c>
    </row>
    <row r="149" spans="1:23" x14ac:dyDescent="0.25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R149" s="60" t="s">
        <v>226</v>
      </c>
      <c r="V149" s="21" t="s">
        <v>227</v>
      </c>
      <c r="W149" s="21"/>
    </row>
    <row r="150" spans="1:23" x14ac:dyDescent="0.25">
      <c r="A150" t="s">
        <v>228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Q150" s="15"/>
      <c r="R150" s="15"/>
      <c r="S150" s="15" t="s">
        <v>229</v>
      </c>
      <c r="T150" s="15" t="s">
        <v>230</v>
      </c>
      <c r="V150" s="241">
        <v>15554</v>
      </c>
      <c r="W150" s="241">
        <v>16285</v>
      </c>
    </row>
    <row r="151" spans="1:23" x14ac:dyDescent="0.25">
      <c r="A151" t="s">
        <v>231</v>
      </c>
      <c r="B151" s="15">
        <v>334</v>
      </c>
      <c r="C151" s="15"/>
      <c r="D151" s="15"/>
      <c r="E151" s="128" t="s">
        <v>232</v>
      </c>
      <c r="F151" s="15"/>
      <c r="G151" s="15"/>
      <c r="H151" s="15"/>
      <c r="I151" s="15"/>
      <c r="J151" s="15"/>
      <c r="K151" s="15"/>
      <c r="L151" s="15"/>
      <c r="M151" s="15"/>
      <c r="N151" s="15"/>
      <c r="Q151" t="s">
        <v>233</v>
      </c>
      <c r="R151" s="15"/>
      <c r="S151">
        <v>103462</v>
      </c>
      <c r="T151">
        <v>1115963</v>
      </c>
      <c r="U151" t="s">
        <v>234</v>
      </c>
      <c r="V151" s="15"/>
      <c r="W151" s="15"/>
    </row>
    <row r="152" spans="1:23" x14ac:dyDescent="0.25">
      <c r="A152" t="s">
        <v>235</v>
      </c>
      <c r="B152" s="15">
        <v>456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Q152" t="s">
        <v>80</v>
      </c>
      <c r="R152" s="15">
        <v>46.47</v>
      </c>
      <c r="U152" t="s">
        <v>234</v>
      </c>
      <c r="V152" s="15"/>
      <c r="W152" s="15">
        <v>350</v>
      </c>
    </row>
    <row r="153" spans="1:23" x14ac:dyDescent="0.25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W153" s="15">
        <f>SUM(W152*R152)</f>
        <v>16264.5</v>
      </c>
    </row>
    <row r="154" spans="1:23" x14ac:dyDescent="0.25">
      <c r="A154" t="s">
        <v>236</v>
      </c>
      <c r="B154" s="15"/>
      <c r="C154" s="241">
        <v>45931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V154" s="242">
        <f>SUM(V153/($V$148*30))</f>
        <v>0</v>
      </c>
      <c r="W154" s="242">
        <f>SUM(W153/($W$148*30))</f>
        <v>24.607724324496061</v>
      </c>
    </row>
    <row r="155" spans="1:23" x14ac:dyDescent="0.25">
      <c r="A155" t="s">
        <v>237</v>
      </c>
      <c r="B155" s="15">
        <v>202</v>
      </c>
      <c r="C155" s="15"/>
      <c r="D155" s="15"/>
      <c r="E155" s="15">
        <v>7.5</v>
      </c>
      <c r="F155" s="15"/>
      <c r="G155" s="15"/>
      <c r="H155" s="15"/>
      <c r="I155" s="15"/>
      <c r="J155" s="15"/>
      <c r="K155" s="15"/>
      <c r="L155" s="15"/>
      <c r="M155" s="15"/>
      <c r="N155" s="15"/>
      <c r="Q155" t="s">
        <v>238</v>
      </c>
      <c r="R155" s="15">
        <v>57.75</v>
      </c>
      <c r="S155">
        <v>399800</v>
      </c>
      <c r="U155" t="s">
        <v>234</v>
      </c>
      <c r="V155" s="15">
        <v>25</v>
      </c>
      <c r="W155" s="15">
        <v>104</v>
      </c>
    </row>
    <row r="156" spans="1:23" x14ac:dyDescent="0.25">
      <c r="A156" t="s">
        <v>237</v>
      </c>
      <c r="B156" s="15">
        <v>213</v>
      </c>
      <c r="C156" s="15"/>
      <c r="D156" s="15"/>
      <c r="E156" s="15">
        <v>5</v>
      </c>
      <c r="F156" s="15"/>
      <c r="G156" s="15"/>
      <c r="H156" s="15"/>
      <c r="I156" s="15"/>
      <c r="J156" s="15"/>
      <c r="K156" s="15"/>
      <c r="L156" s="15"/>
      <c r="M156" s="15"/>
      <c r="N156" s="15"/>
      <c r="R156" s="199"/>
      <c r="V156" s="15">
        <f>SUM(V155*R155)</f>
        <v>1443.75</v>
      </c>
      <c r="W156" s="15">
        <f>SUM(W155*R155)</f>
        <v>6006</v>
      </c>
    </row>
    <row r="157" spans="1:23" x14ac:dyDescent="0.25">
      <c r="A157" s="174" t="s">
        <v>239</v>
      </c>
      <c r="B157" s="15">
        <v>312</v>
      </c>
      <c r="C157" s="15"/>
      <c r="D157" s="15"/>
      <c r="E157" s="15">
        <v>5</v>
      </c>
      <c r="F157" s="15"/>
      <c r="G157" s="15"/>
      <c r="H157" s="15"/>
      <c r="I157" s="15"/>
      <c r="J157" s="15"/>
      <c r="K157" s="15"/>
      <c r="L157" s="15"/>
      <c r="M157" s="15"/>
      <c r="N157" s="15"/>
      <c r="U157" t="s">
        <v>240</v>
      </c>
      <c r="V157" s="242">
        <f>SUM(V156/($V$148*30))</f>
        <v>7.1839080459770104</v>
      </c>
      <c r="W157" s="243">
        <f>SUM(W156/($W$148*30))</f>
        <v>9.0869065936809221</v>
      </c>
    </row>
    <row r="158" spans="1:23" x14ac:dyDescent="0.25">
      <c r="A158" t="s">
        <v>241</v>
      </c>
      <c r="B158" s="244">
        <v>385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Q158" s="245" t="s">
        <v>100</v>
      </c>
      <c r="R158" s="246">
        <v>73</v>
      </c>
      <c r="S158" s="115">
        <f>SUM(R158-R155)</f>
        <v>15.25</v>
      </c>
      <c r="T158" s="115">
        <f>SUM(1-(R152/R158))</f>
        <v>0.36342465753424658</v>
      </c>
      <c r="U158" s="115"/>
      <c r="V158" s="247">
        <f>SUM($V$155*R158)</f>
        <v>1825</v>
      </c>
      <c r="W158" s="247">
        <f>SUM($W$155*R158)</f>
        <v>7592</v>
      </c>
    </row>
    <row r="159" spans="1:23" x14ac:dyDescent="0.25">
      <c r="A159" t="s">
        <v>242</v>
      </c>
      <c r="B159" s="199">
        <v>331</v>
      </c>
      <c r="C159" s="248">
        <v>367</v>
      </c>
      <c r="D159" s="15"/>
      <c r="E159" s="199">
        <v>3.2</v>
      </c>
      <c r="F159" s="15"/>
      <c r="G159" s="15"/>
      <c r="H159" s="15"/>
      <c r="I159" s="15"/>
      <c r="J159" s="15"/>
      <c r="K159" s="15"/>
      <c r="L159" s="15"/>
      <c r="M159" s="15"/>
      <c r="N159" s="15"/>
      <c r="Q159" s="115"/>
      <c r="R159" s="115"/>
      <c r="S159" s="115"/>
      <c r="T159" s="115"/>
      <c r="U159" s="115"/>
      <c r="V159" s="249">
        <f>SUM(V158/($V$148*30))</f>
        <v>9.0809573568194253</v>
      </c>
      <c r="W159" s="249">
        <f>SUM(W158/($W$148*30))</f>
        <v>11.486479330540385</v>
      </c>
    </row>
    <row r="160" spans="1:23" x14ac:dyDescent="0.25">
      <c r="N160" s="15"/>
      <c r="Q160" t="s">
        <v>85</v>
      </c>
      <c r="R160" s="15">
        <v>75.5</v>
      </c>
      <c r="W160" s="15">
        <v>94</v>
      </c>
    </row>
    <row r="161" spans="1:23" x14ac:dyDescent="0.25">
      <c r="A161" t="s">
        <v>243</v>
      </c>
      <c r="B161" s="15">
        <v>275</v>
      </c>
      <c r="C161" s="15"/>
      <c r="D161" s="15"/>
      <c r="E161" s="15">
        <v>4.5999999999999996</v>
      </c>
      <c r="F161" s="15"/>
      <c r="G161" s="15"/>
      <c r="H161" s="15"/>
      <c r="I161" s="15"/>
      <c r="J161" s="15"/>
      <c r="K161" s="15"/>
      <c r="L161" s="15"/>
      <c r="M161" s="15"/>
      <c r="N161" s="15"/>
      <c r="W161" s="15">
        <f>SUM(W160*R160)</f>
        <v>7097</v>
      </c>
    </row>
    <row r="162" spans="1:23" x14ac:dyDescent="0.25">
      <c r="A162" t="s">
        <v>244</v>
      </c>
      <c r="B162" s="15">
        <v>296</v>
      </c>
      <c r="C162" s="15"/>
      <c r="D162" s="15"/>
      <c r="E162" s="15">
        <v>4.5999999999999996</v>
      </c>
      <c r="F162" s="15"/>
      <c r="G162" s="15"/>
      <c r="H162" s="15"/>
      <c r="I162" s="15"/>
      <c r="J162" s="15"/>
      <c r="K162" s="15"/>
      <c r="L162" s="15"/>
      <c r="M162" s="15"/>
      <c r="N162" s="15"/>
      <c r="W162" s="243">
        <f>SUM(W161/($W$148*30))</f>
        <v>10.737558457434815</v>
      </c>
    </row>
    <row r="163" spans="1:23" x14ac:dyDescent="0.25">
      <c r="A163" t="s">
        <v>245</v>
      </c>
      <c r="B163" s="15">
        <v>378</v>
      </c>
      <c r="C163" s="15"/>
      <c r="D163" s="15"/>
      <c r="E163" s="15">
        <v>4.5999999999999996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245" t="s">
        <v>100</v>
      </c>
      <c r="R163" s="246">
        <v>91</v>
      </c>
      <c r="S163" s="115">
        <f>SUM(R163-R160)</f>
        <v>15.5</v>
      </c>
      <c r="T163" s="115">
        <f>SUM(1-(R158/R163))</f>
        <v>0.19780219780219777</v>
      </c>
      <c r="U163" s="115"/>
      <c r="V163" s="247">
        <f>SUM($V$155*R163)</f>
        <v>2275</v>
      </c>
      <c r="W163" s="247">
        <f>SUM($W$155*R163)</f>
        <v>9464</v>
      </c>
    </row>
    <row r="164" spans="1:23" x14ac:dyDescent="0.25">
      <c r="A164" t="s">
        <v>246</v>
      </c>
      <c r="B164" s="15">
        <v>431</v>
      </c>
      <c r="C164" s="15"/>
      <c r="D164" s="15"/>
      <c r="E164" s="15">
        <v>4.5999999999999996</v>
      </c>
      <c r="F164" s="15"/>
      <c r="G164" s="15"/>
      <c r="H164" s="15"/>
      <c r="I164" s="15"/>
      <c r="J164" s="15"/>
      <c r="K164" s="15"/>
      <c r="L164" s="15"/>
      <c r="M164" s="15"/>
      <c r="N164" s="15"/>
      <c r="Q164" s="115"/>
      <c r="R164" s="115"/>
      <c r="S164" s="115"/>
      <c r="T164" s="115"/>
      <c r="U164" s="115"/>
      <c r="V164" s="249">
        <f>SUM(V163/($V$148*30))</f>
        <v>11.320097526994077</v>
      </c>
      <c r="W164" s="249">
        <f>SUM(W163/($W$148*30))</f>
        <v>14.318761905194179</v>
      </c>
    </row>
    <row r="165" spans="1:23" x14ac:dyDescent="0.25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23" x14ac:dyDescent="0.25">
      <c r="A166" s="250" t="s">
        <v>247</v>
      </c>
      <c r="B166" s="15"/>
      <c r="C166" s="15"/>
      <c r="D166" s="15"/>
      <c r="E166" s="15"/>
      <c r="F166" s="15"/>
      <c r="G166" s="15"/>
      <c r="H166" s="15"/>
      <c r="I166" s="15"/>
      <c r="J166" s="15"/>
    </row>
    <row r="167" spans="1:23" x14ac:dyDescent="0.25">
      <c r="A167" s="251" t="s">
        <v>248</v>
      </c>
      <c r="B167" s="15"/>
      <c r="C167" s="15"/>
      <c r="D167" s="15"/>
      <c r="E167" s="15"/>
      <c r="F167" s="15"/>
      <c r="G167" s="15"/>
      <c r="H167" s="15"/>
      <c r="I167" s="15"/>
      <c r="J167" s="15"/>
    </row>
    <row r="168" spans="1:23" x14ac:dyDescent="0.25">
      <c r="A168" s="252" t="s">
        <v>249</v>
      </c>
      <c r="B168" s="15"/>
      <c r="C168" s="15"/>
      <c r="D168" s="15"/>
      <c r="E168" s="15"/>
      <c r="F168" s="15"/>
      <c r="G168" s="15"/>
      <c r="H168" s="15"/>
      <c r="I168" s="15"/>
      <c r="J168" s="15"/>
    </row>
    <row r="172" spans="1:23" x14ac:dyDescent="0.25">
      <c r="A172" t="s">
        <v>250</v>
      </c>
    </row>
    <row r="173" spans="1:23" x14ac:dyDescent="0.25">
      <c r="A173" t="s">
        <v>251</v>
      </c>
      <c r="B173">
        <v>3</v>
      </c>
      <c r="D173">
        <v>8</v>
      </c>
    </row>
    <row r="174" spans="1:23" x14ac:dyDescent="0.25">
      <c r="A174" t="s">
        <v>82</v>
      </c>
      <c r="B174">
        <v>30</v>
      </c>
      <c r="D174">
        <f>SUM(D173*10)</f>
        <v>80</v>
      </c>
    </row>
    <row r="175" spans="1:23" x14ac:dyDescent="0.25">
      <c r="A175" t="s">
        <v>80</v>
      </c>
      <c r="B175">
        <v>15</v>
      </c>
      <c r="D175">
        <f>SUM(D174/2)</f>
        <v>40</v>
      </c>
    </row>
    <row r="176" spans="1:23" x14ac:dyDescent="0.25">
      <c r="A176" t="s">
        <v>168</v>
      </c>
      <c r="B176">
        <v>10</v>
      </c>
      <c r="D176" s="253">
        <f>SUM(D174/3)</f>
        <v>26.666666666666668</v>
      </c>
      <c r="F176" s="253"/>
    </row>
    <row r="181" spans="1:14" x14ac:dyDescent="0.25">
      <c r="A181" t="s">
        <v>252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</row>
    <row r="183" spans="1:14" x14ac:dyDescent="0.25">
      <c r="A183" t="s">
        <v>253</v>
      </c>
    </row>
    <row r="185" spans="1:14" x14ac:dyDescent="0.25">
      <c r="A185" t="s">
        <v>254</v>
      </c>
    </row>
    <row r="186" spans="1:14" x14ac:dyDescent="0.25">
      <c r="A186" t="s">
        <v>255</v>
      </c>
    </row>
    <row r="187" spans="1:14" x14ac:dyDescent="0.25">
      <c r="A187" t="s">
        <v>256</v>
      </c>
    </row>
    <row r="188" spans="1:14" x14ac:dyDescent="0.25">
      <c r="A188" t="s">
        <v>257</v>
      </c>
    </row>
    <row r="189" spans="1:14" x14ac:dyDescent="0.25">
      <c r="A189" t="s">
        <v>258</v>
      </c>
    </row>
    <row r="190" spans="1:14" x14ac:dyDescent="0.25">
      <c r="A190" t="s">
        <v>259</v>
      </c>
    </row>
    <row r="191" spans="1:14" x14ac:dyDescent="0.25">
      <c r="A191" t="s">
        <v>260</v>
      </c>
    </row>
    <row r="192" spans="1:14" x14ac:dyDescent="0.25">
      <c r="A192" t="s">
        <v>261</v>
      </c>
    </row>
    <row r="193" spans="1:6" x14ac:dyDescent="0.25">
      <c r="A193" t="s">
        <v>262</v>
      </c>
    </row>
    <row r="194" spans="1:6" x14ac:dyDescent="0.25">
      <c r="A194" t="s">
        <v>263</v>
      </c>
    </row>
    <row r="195" spans="1:6" x14ac:dyDescent="0.25">
      <c r="A195" t="s">
        <v>264</v>
      </c>
    </row>
    <row r="201" spans="1:6" x14ac:dyDescent="0.25">
      <c r="A201" t="s">
        <v>265</v>
      </c>
      <c r="B201" t="s">
        <v>266</v>
      </c>
    </row>
    <row r="202" spans="1:6" x14ac:dyDescent="0.25">
      <c r="A202" t="s">
        <v>267</v>
      </c>
    </row>
    <row r="205" spans="1:6" x14ac:dyDescent="0.25">
      <c r="A205" s="254" t="s">
        <v>268</v>
      </c>
      <c r="B205" s="254" t="s">
        <v>269</v>
      </c>
      <c r="C205" s="254"/>
      <c r="D205" s="254"/>
      <c r="E205" s="254"/>
      <c r="F205" s="254"/>
    </row>
    <row r="210" spans="1:13" x14ac:dyDescent="0.25">
      <c r="A210" s="128"/>
      <c r="B210" s="99" t="s">
        <v>270</v>
      </c>
      <c r="C210" s="99"/>
      <c r="D210" s="99"/>
      <c r="E210" s="99"/>
      <c r="F210" s="91" t="s">
        <v>271</v>
      </c>
      <c r="G210" s="99" t="s">
        <v>272</v>
      </c>
      <c r="H210" s="255" t="s">
        <v>273</v>
      </c>
      <c r="I210" s="255"/>
      <c r="J210" s="256" t="s">
        <v>274</v>
      </c>
      <c r="L210" s="202" t="s">
        <v>275</v>
      </c>
      <c r="M210" s="99"/>
    </row>
    <row r="211" spans="1:13" x14ac:dyDescent="0.25">
      <c r="A211" s="15" t="s">
        <v>276</v>
      </c>
      <c r="B211" s="15"/>
      <c r="C211" s="15"/>
      <c r="D211" s="15"/>
      <c r="E211" s="15"/>
      <c r="F211" s="257">
        <v>7000000</v>
      </c>
      <c r="G211" s="103"/>
      <c r="H211" s="258">
        <f>SUM(F211/J211)</f>
        <v>5185.1851851851852</v>
      </c>
      <c r="I211" s="258"/>
      <c r="J211">
        <v>1350</v>
      </c>
    </row>
    <row r="212" spans="1:13" x14ac:dyDescent="0.25">
      <c r="A212" s="15" t="s">
        <v>85</v>
      </c>
      <c r="B212" s="15"/>
      <c r="C212" s="15"/>
      <c r="D212" s="15"/>
      <c r="F212" s="257">
        <v>321500</v>
      </c>
      <c r="G212" s="103"/>
      <c r="H212" s="258">
        <f>SUM(F212/J212)</f>
        <v>4606.0171919770773</v>
      </c>
      <c r="I212" s="258"/>
      <c r="J212">
        <v>69.8</v>
      </c>
      <c r="L212" t="s">
        <v>277</v>
      </c>
    </row>
    <row r="213" spans="1:13" x14ac:dyDescent="0.25">
      <c r="A213" s="15" t="s">
        <v>238</v>
      </c>
      <c r="B213" s="15"/>
      <c r="C213" s="15"/>
      <c r="D213" s="15"/>
      <c r="E213" s="15">
        <v>250000</v>
      </c>
      <c r="F213" s="257">
        <v>250700</v>
      </c>
      <c r="G213" s="259">
        <v>30000</v>
      </c>
      <c r="H213" s="258">
        <f>SUM(F213/J213)</f>
        <v>4398.2456140350878</v>
      </c>
      <c r="I213" s="258"/>
      <c r="J213">
        <v>57</v>
      </c>
      <c r="L213" t="s">
        <v>277</v>
      </c>
    </row>
    <row r="214" spans="1:13" x14ac:dyDescent="0.25">
      <c r="A214" s="15" t="s">
        <v>80</v>
      </c>
      <c r="B214" s="15"/>
      <c r="C214" s="15"/>
      <c r="D214" s="15"/>
      <c r="E214" s="15">
        <v>117000</v>
      </c>
      <c r="F214" s="257">
        <v>143912</v>
      </c>
      <c r="G214" s="103" t="s">
        <v>278</v>
      </c>
      <c r="J214">
        <v>44.8</v>
      </c>
      <c r="L214" t="s">
        <v>279</v>
      </c>
    </row>
    <row r="215" spans="1:13" x14ac:dyDescent="0.25">
      <c r="A215" s="15" t="s">
        <v>280</v>
      </c>
      <c r="B215" s="15"/>
      <c r="C215" s="15"/>
      <c r="D215" s="15"/>
      <c r="E215" s="15"/>
      <c r="F215" s="257">
        <v>115900</v>
      </c>
      <c r="H215" s="258">
        <f>SUM(F215/J215)</f>
        <v>4636</v>
      </c>
      <c r="I215" s="258"/>
      <c r="J215">
        <v>25</v>
      </c>
      <c r="L215" t="s">
        <v>279</v>
      </c>
    </row>
    <row r="216" spans="1:13" x14ac:dyDescent="0.25">
      <c r="A216" s="15" t="s">
        <v>281</v>
      </c>
      <c r="B216" s="15"/>
      <c r="C216" s="15"/>
      <c r="D216" s="15"/>
      <c r="E216" s="15"/>
      <c r="F216" s="257">
        <v>103163</v>
      </c>
      <c r="G216" s="103">
        <v>2000</v>
      </c>
      <c r="H216" s="258">
        <f>SUM(F216/J216)</f>
        <v>4485.347826086957</v>
      </c>
      <c r="I216" s="258"/>
      <c r="J216">
        <v>23</v>
      </c>
      <c r="L216" t="s">
        <v>279</v>
      </c>
    </row>
    <row r="217" spans="1:13" x14ac:dyDescent="0.25">
      <c r="A217" s="15" t="s">
        <v>282</v>
      </c>
      <c r="B217" s="15"/>
      <c r="C217" s="15"/>
      <c r="D217" s="15"/>
      <c r="E217" s="15"/>
      <c r="F217" s="257"/>
      <c r="G217" s="103"/>
      <c r="H217" s="258"/>
      <c r="I217" s="258"/>
      <c r="J217">
        <v>9.6999999999999993</v>
      </c>
      <c r="L217">
        <v>5</v>
      </c>
    </row>
    <row r="218" spans="1:13" x14ac:dyDescent="0.25">
      <c r="A218" s="15" t="s">
        <v>283</v>
      </c>
      <c r="B218" s="15"/>
      <c r="C218" s="15"/>
      <c r="D218" s="15"/>
      <c r="E218" s="15"/>
      <c r="F218" s="257">
        <v>52640</v>
      </c>
      <c r="G218" s="103"/>
      <c r="H218" s="258">
        <f>SUM(F218/J218)</f>
        <v>5914.6067415730331</v>
      </c>
      <c r="I218" s="258"/>
      <c r="J218">
        <v>8.9</v>
      </c>
      <c r="L218">
        <v>5</v>
      </c>
    </row>
    <row r="219" spans="1:13" x14ac:dyDescent="0.25">
      <c r="A219" s="15" t="s">
        <v>284</v>
      </c>
      <c r="B219" s="15"/>
      <c r="C219" s="15"/>
      <c r="D219" s="15"/>
      <c r="E219" s="15"/>
      <c r="F219" s="257">
        <v>32000</v>
      </c>
      <c r="G219" s="103"/>
      <c r="H219" s="258">
        <f>SUM(F219/J219)</f>
        <v>5925.9259259259252</v>
      </c>
      <c r="I219" s="258"/>
      <c r="J219">
        <v>5.4</v>
      </c>
      <c r="L219">
        <v>4</v>
      </c>
    </row>
    <row r="220" spans="1:13" x14ac:dyDescent="0.25">
      <c r="A220" s="260" t="s">
        <v>72</v>
      </c>
      <c r="B220" s="260"/>
      <c r="C220" s="260"/>
      <c r="D220" s="260"/>
      <c r="E220" s="260"/>
      <c r="F220" s="261">
        <v>82000</v>
      </c>
      <c r="G220" s="262"/>
      <c r="H220" s="263">
        <f>SUM(F220/J220)</f>
        <v>3430.9623430962347</v>
      </c>
      <c r="I220" s="263"/>
      <c r="J220" s="264">
        <v>23.9</v>
      </c>
      <c r="L220">
        <v>6</v>
      </c>
    </row>
    <row r="221" spans="1:13" x14ac:dyDescent="0.25">
      <c r="A221" s="15" t="s">
        <v>285</v>
      </c>
      <c r="B221" s="15"/>
      <c r="C221" s="15"/>
      <c r="D221" s="15"/>
      <c r="E221" s="15"/>
    </row>
    <row r="222" spans="1:13" x14ac:dyDescent="0.25">
      <c r="A222" s="15" t="s">
        <v>286</v>
      </c>
      <c r="B222" s="15"/>
      <c r="C222" s="15"/>
      <c r="D222" s="15"/>
      <c r="E222" s="15"/>
      <c r="F222" t="s">
        <v>287</v>
      </c>
      <c r="J222">
        <v>188</v>
      </c>
    </row>
    <row r="223" spans="1:13" x14ac:dyDescent="0.25">
      <c r="A223" s="15" t="s">
        <v>288</v>
      </c>
      <c r="B223" s="15"/>
      <c r="C223" s="15"/>
      <c r="D223" s="15"/>
      <c r="E223" s="15"/>
    </row>
    <row r="224" spans="1:13" x14ac:dyDescent="0.25">
      <c r="A224" s="15"/>
      <c r="B224" s="15"/>
      <c r="C224" s="15"/>
      <c r="D224" s="15"/>
      <c r="E224" s="15"/>
      <c r="J224" s="265" t="s">
        <v>289</v>
      </c>
      <c r="L224">
        <v>1</v>
      </c>
      <c r="M224" s="265">
        <v>1</v>
      </c>
    </row>
    <row r="225" spans="1:19" x14ac:dyDescent="0.25">
      <c r="A225" s="15" t="s">
        <v>251</v>
      </c>
      <c r="B225" s="15"/>
      <c r="C225" s="15"/>
      <c r="D225" s="15"/>
      <c r="E225" s="15"/>
      <c r="G225" s="103" t="s">
        <v>290</v>
      </c>
      <c r="J225" s="265" t="s">
        <v>291</v>
      </c>
      <c r="L225">
        <v>1</v>
      </c>
      <c r="M225" s="265">
        <v>1</v>
      </c>
    </row>
    <row r="226" spans="1:19" x14ac:dyDescent="0.25">
      <c r="A226" s="15"/>
      <c r="B226" s="15"/>
      <c r="C226" s="15"/>
      <c r="D226" s="15"/>
      <c r="E226" s="15"/>
      <c r="J226" s="265" t="s">
        <v>292</v>
      </c>
      <c r="M226" s="265">
        <v>1</v>
      </c>
    </row>
    <row r="227" spans="1:19" x14ac:dyDescent="0.25">
      <c r="A227" s="251"/>
      <c r="B227" s="15"/>
      <c r="C227" s="15"/>
      <c r="D227" s="15"/>
      <c r="E227" s="15"/>
      <c r="J227" s="265" t="s">
        <v>293</v>
      </c>
      <c r="L227" s="265"/>
      <c r="M227" s="265">
        <v>1</v>
      </c>
      <c r="N227" s="265" t="s">
        <v>294</v>
      </c>
    </row>
    <row r="231" spans="1:19" x14ac:dyDescent="0.25">
      <c r="F231" s="22"/>
      <c r="K231" s="22" t="s">
        <v>3</v>
      </c>
      <c r="P231" s="60" t="s">
        <v>295</v>
      </c>
    </row>
    <row r="232" spans="1:19" x14ac:dyDescent="0.25">
      <c r="A232" t="s">
        <v>296</v>
      </c>
      <c r="E232" s="15">
        <v>2500</v>
      </c>
      <c r="F232" s="15">
        <v>4700</v>
      </c>
      <c r="J232" s="118">
        <f t="shared" ref="J232:J238" si="48">SUM(E232)</f>
        <v>2500</v>
      </c>
      <c r="K232" s="266"/>
      <c r="Q232">
        <v>18500</v>
      </c>
      <c r="R232" s="64"/>
    </row>
    <row r="233" spans="1:19" x14ac:dyDescent="0.25">
      <c r="A233" t="s">
        <v>251</v>
      </c>
      <c r="E233" s="15">
        <v>5000</v>
      </c>
      <c r="F233" s="15">
        <v>9000</v>
      </c>
      <c r="J233" s="118">
        <f t="shared" si="48"/>
        <v>5000</v>
      </c>
      <c r="K233" s="266"/>
      <c r="P233">
        <v>1938</v>
      </c>
      <c r="R233" s="64">
        <f>SUM(100%-(S233/$Q$232))</f>
        <v>0.35135135135135132</v>
      </c>
      <c r="S233">
        <v>12000</v>
      </c>
    </row>
    <row r="234" spans="1:19" x14ac:dyDescent="0.25">
      <c r="A234" t="s">
        <v>297</v>
      </c>
      <c r="B234">
        <v>1937</v>
      </c>
      <c r="E234" s="15">
        <v>4000</v>
      </c>
      <c r="F234" s="15"/>
      <c r="J234" s="118">
        <f t="shared" si="48"/>
        <v>4000</v>
      </c>
      <c r="K234" s="266">
        <v>21.25</v>
      </c>
      <c r="L234" s="267">
        <f>SUM(J234/$J$235)-0.32</f>
        <v>0.67999999999999994</v>
      </c>
      <c r="M234" s="268">
        <f>SUM($K$236*L234)</f>
        <v>18.543599999999998</v>
      </c>
      <c r="P234">
        <v>1939</v>
      </c>
      <c r="Q234" s="269">
        <f>SUM(R234-R233)</f>
        <v>0.32432432432432434</v>
      </c>
      <c r="R234" s="64">
        <f>SUM(100%-(S234/$Q$232))</f>
        <v>0.67567567567567566</v>
      </c>
      <c r="S234">
        <v>6000</v>
      </c>
    </row>
    <row r="235" spans="1:19" x14ac:dyDescent="0.25">
      <c r="A235" t="s">
        <v>298</v>
      </c>
      <c r="B235">
        <v>1938</v>
      </c>
      <c r="E235" s="15">
        <v>4000</v>
      </c>
      <c r="F235" s="15"/>
      <c r="J235" s="118">
        <f>SUM(E235)</f>
        <v>4000</v>
      </c>
      <c r="K235" s="266">
        <v>25.53</v>
      </c>
      <c r="L235" s="267">
        <f>SUM(J235/$J$235)-0.11</f>
        <v>0.89</v>
      </c>
      <c r="M235" s="268">
        <f>SUM($K$236*L235)</f>
        <v>24.270299999999999</v>
      </c>
      <c r="P235">
        <v>1940</v>
      </c>
      <c r="Q235" s="269">
        <f>SUM(R235-R233)</f>
        <v>0.43243243243243246</v>
      </c>
      <c r="R235" s="64">
        <f>SUM(100%-(S235/$Q$232))</f>
        <v>0.78378378378378377</v>
      </c>
      <c r="S235">
        <v>4000</v>
      </c>
    </row>
    <row r="236" spans="1:19" x14ac:dyDescent="0.25">
      <c r="A236" t="s">
        <v>299</v>
      </c>
      <c r="B236">
        <v>1940</v>
      </c>
      <c r="E236" s="15">
        <v>4000</v>
      </c>
      <c r="F236" s="15"/>
      <c r="J236" s="118">
        <f>SUM(E236)</f>
        <v>4000</v>
      </c>
      <c r="K236" s="266">
        <v>27.27</v>
      </c>
      <c r="L236" s="199">
        <v>1</v>
      </c>
      <c r="M236" s="268"/>
      <c r="P236">
        <v>1943</v>
      </c>
      <c r="Q236" s="269">
        <f>SUM(R236-R233)</f>
        <v>0.54054054054054057</v>
      </c>
      <c r="R236" s="64">
        <f>SUM(100%-(S236/$Q$232))</f>
        <v>0.89189189189189189</v>
      </c>
      <c r="S236">
        <v>2000</v>
      </c>
    </row>
    <row r="237" spans="1:19" x14ac:dyDescent="0.25">
      <c r="A237" t="s">
        <v>300</v>
      </c>
      <c r="B237">
        <v>1941</v>
      </c>
      <c r="E237" s="15">
        <v>4000</v>
      </c>
      <c r="F237" s="121"/>
      <c r="J237" s="118">
        <f t="shared" si="48"/>
        <v>4000</v>
      </c>
      <c r="K237" s="266">
        <v>33.299999999999997</v>
      </c>
      <c r="L237" s="267">
        <f>SUM(J237/$J$235)+0.11</f>
        <v>1.1100000000000001</v>
      </c>
      <c r="M237" s="268">
        <f>SUM($K$236*L237)</f>
        <v>30.269700000000004</v>
      </c>
    </row>
    <row r="238" spans="1:19" x14ac:dyDescent="0.25">
      <c r="A238" t="s">
        <v>301</v>
      </c>
      <c r="B238">
        <v>1942</v>
      </c>
      <c r="E238" s="15">
        <v>2000</v>
      </c>
      <c r="F238" s="121"/>
      <c r="J238" s="118">
        <f t="shared" si="48"/>
        <v>2000</v>
      </c>
      <c r="K238" s="266">
        <v>34.42</v>
      </c>
      <c r="L238" s="267">
        <f>SUM(J238/$J$235)+0.54</f>
        <v>1.04</v>
      </c>
      <c r="M238" s="268">
        <f>SUM($K$236*L238)</f>
        <v>28.360800000000001</v>
      </c>
    </row>
    <row r="239" spans="1:19" x14ac:dyDescent="0.25">
      <c r="K239" s="266"/>
    </row>
    <row r="240" spans="1:19" x14ac:dyDescent="0.25">
      <c r="A240" t="s">
        <v>302</v>
      </c>
      <c r="K240" s="266"/>
    </row>
    <row r="241" spans="1:13" x14ac:dyDescent="0.25">
      <c r="K241" s="266"/>
    </row>
    <row r="242" spans="1:13" x14ac:dyDescent="0.25">
      <c r="A242" s="60" t="s">
        <v>303</v>
      </c>
      <c r="E242" s="15" t="s">
        <v>304</v>
      </c>
      <c r="F242" s="15" t="s">
        <v>305</v>
      </c>
      <c r="G242" s="15" t="s">
        <v>306</v>
      </c>
      <c r="K242" s="266"/>
    </row>
    <row r="243" spans="1:13" x14ac:dyDescent="0.25">
      <c r="A243" t="s">
        <v>307</v>
      </c>
      <c r="B243">
        <v>1938</v>
      </c>
      <c r="E243" s="103"/>
      <c r="F243" s="117">
        <v>15200</v>
      </c>
      <c r="G243" s="117"/>
      <c r="J243" s="118">
        <f t="shared" ref="J243:J252" si="49">SUM(F243)</f>
        <v>15200</v>
      </c>
      <c r="K243" s="266">
        <v>25</v>
      </c>
      <c r="L243" s="101">
        <f>SUM(J243/$J$259)</f>
        <v>1.2666666666666666</v>
      </c>
      <c r="M243" s="268">
        <f>SUM($K$259*L243)</f>
        <v>30.653333333333332</v>
      </c>
    </row>
    <row r="244" spans="1:13" x14ac:dyDescent="0.25">
      <c r="A244" t="s">
        <v>308</v>
      </c>
      <c r="B244">
        <v>1940</v>
      </c>
      <c r="E244" s="103"/>
      <c r="F244" s="117">
        <v>10300</v>
      </c>
      <c r="G244" s="117"/>
      <c r="J244" s="118">
        <f t="shared" si="49"/>
        <v>10300</v>
      </c>
      <c r="K244" s="266">
        <v>24</v>
      </c>
      <c r="L244" s="101">
        <f>SUM(J244/$J$259)</f>
        <v>0.85833333333333328</v>
      </c>
      <c r="M244" s="268">
        <f>SUM($K$259*L244)</f>
        <v>20.771666666666665</v>
      </c>
    </row>
    <row r="245" spans="1:13" x14ac:dyDescent="0.25">
      <c r="A245" t="s">
        <v>309</v>
      </c>
      <c r="B245">
        <v>1940</v>
      </c>
      <c r="E245" s="103"/>
      <c r="F245" s="117">
        <v>26600</v>
      </c>
      <c r="G245" s="117"/>
      <c r="J245" s="118">
        <f t="shared" si="49"/>
        <v>26600</v>
      </c>
      <c r="K245" s="266">
        <v>30</v>
      </c>
      <c r="L245" s="101">
        <f>SUM(J245/$J$259)</f>
        <v>2.2166666666666668</v>
      </c>
      <c r="M245" s="268">
        <f>SUM($K$259*L245)</f>
        <v>53.643333333333338</v>
      </c>
    </row>
    <row r="246" spans="1:13" x14ac:dyDescent="0.25">
      <c r="A246" t="s">
        <v>310</v>
      </c>
      <c r="E246" s="103"/>
      <c r="F246" s="117">
        <v>15500</v>
      </c>
      <c r="G246" s="117"/>
      <c r="J246" s="118">
        <f t="shared" si="49"/>
        <v>15500</v>
      </c>
      <c r="K246" s="266"/>
      <c r="L246" s="15"/>
    </row>
    <row r="247" spans="1:13" x14ac:dyDescent="0.25">
      <c r="A247" s="60" t="s">
        <v>311</v>
      </c>
      <c r="E247" s="103"/>
      <c r="F247" s="117"/>
      <c r="G247" s="117"/>
      <c r="J247" s="118"/>
      <c r="K247" s="266"/>
      <c r="L247" s="15"/>
    </row>
    <row r="248" spans="1:13" x14ac:dyDescent="0.25">
      <c r="A248" t="s">
        <v>312</v>
      </c>
      <c r="B248">
        <v>1937</v>
      </c>
      <c r="E248" s="103"/>
      <c r="F248" s="117">
        <v>24000</v>
      </c>
      <c r="G248" s="117"/>
      <c r="J248" s="118">
        <f t="shared" si="49"/>
        <v>24000</v>
      </c>
      <c r="K248" s="266">
        <v>26</v>
      </c>
      <c r="L248" s="101">
        <f>SUM(J248/$J$259)-0.63</f>
        <v>1.37</v>
      </c>
      <c r="M248" s="268">
        <f t="shared" ref="M248:M254" si="50">SUM($K$259*L248)</f>
        <v>33.154000000000003</v>
      </c>
    </row>
    <row r="249" spans="1:13" x14ac:dyDescent="0.25">
      <c r="A249" t="s">
        <v>313</v>
      </c>
      <c r="B249">
        <v>1937</v>
      </c>
      <c r="E249" s="103"/>
      <c r="F249" s="117">
        <v>52000</v>
      </c>
      <c r="G249" s="117"/>
      <c r="J249" s="118">
        <f t="shared" si="49"/>
        <v>52000</v>
      </c>
      <c r="K249" s="266">
        <v>77.5</v>
      </c>
      <c r="L249" s="101">
        <f>SUM(J249/$J$259)-0.63</f>
        <v>3.7033333333333331</v>
      </c>
      <c r="M249" s="268">
        <f t="shared" si="50"/>
        <v>89.620666666666665</v>
      </c>
    </row>
    <row r="250" spans="1:13" x14ac:dyDescent="0.25">
      <c r="A250" t="s">
        <v>314</v>
      </c>
      <c r="B250">
        <v>1938</v>
      </c>
      <c r="E250" s="103"/>
      <c r="F250" s="117">
        <v>38000</v>
      </c>
      <c r="G250" s="117"/>
      <c r="J250" s="118">
        <f t="shared" si="49"/>
        <v>38000</v>
      </c>
      <c r="K250" s="266">
        <v>56.1</v>
      </c>
      <c r="L250" s="101">
        <f>SUM(J250/$J$259)-0.32</f>
        <v>2.8466666666666667</v>
      </c>
      <c r="M250" s="268">
        <f t="shared" si="50"/>
        <v>68.889333333333326</v>
      </c>
    </row>
    <row r="251" spans="1:13" x14ac:dyDescent="0.25">
      <c r="A251" t="s">
        <v>315</v>
      </c>
      <c r="B251">
        <v>1940</v>
      </c>
      <c r="E251" s="103"/>
      <c r="F251" s="117">
        <v>52100</v>
      </c>
      <c r="G251" s="117"/>
      <c r="J251" s="118">
        <f t="shared" si="49"/>
        <v>52100</v>
      </c>
      <c r="K251" s="266">
        <v>93.8</v>
      </c>
      <c r="L251" s="101">
        <f>SUM(J251/$J$259)+Q234</f>
        <v>4.6659909909909913</v>
      </c>
      <c r="M251" s="268">
        <f t="shared" si="50"/>
        <v>112.91698198198199</v>
      </c>
    </row>
    <row r="252" spans="1:13" x14ac:dyDescent="0.25">
      <c r="A252" t="s">
        <v>316</v>
      </c>
      <c r="B252">
        <v>1941</v>
      </c>
      <c r="E252" s="103"/>
      <c r="F252" s="117">
        <v>76000</v>
      </c>
      <c r="G252" s="117"/>
      <c r="J252" s="118">
        <f t="shared" si="49"/>
        <v>76000</v>
      </c>
      <c r="K252" s="266">
        <v>101.3</v>
      </c>
      <c r="L252" s="101">
        <f>SUM(J252/$J$259)+Q235</f>
        <v>6.7657657657657655</v>
      </c>
      <c r="M252" s="268">
        <f t="shared" si="50"/>
        <v>163.73153153153152</v>
      </c>
    </row>
    <row r="253" spans="1:13" x14ac:dyDescent="0.25">
      <c r="A253" t="s">
        <v>317</v>
      </c>
      <c r="B253">
        <v>1940</v>
      </c>
      <c r="E253" s="103"/>
      <c r="F253" s="117">
        <v>75000</v>
      </c>
      <c r="G253" s="117"/>
      <c r="J253" s="118">
        <f>SUM(F253)</f>
        <v>75000</v>
      </c>
      <c r="K253" s="266">
        <v>103.1</v>
      </c>
      <c r="L253" s="101">
        <f>SUM(J253/$J$259)+Q235</f>
        <v>6.6824324324324325</v>
      </c>
      <c r="M253" s="268">
        <f t="shared" si="50"/>
        <v>161.71486486486486</v>
      </c>
    </row>
    <row r="254" spans="1:13" x14ac:dyDescent="0.25">
      <c r="A254" t="s">
        <v>318</v>
      </c>
      <c r="B254">
        <v>1942</v>
      </c>
      <c r="E254" s="117">
        <v>20000</v>
      </c>
      <c r="F254" s="117">
        <v>51000</v>
      </c>
      <c r="G254" s="103"/>
      <c r="J254" s="118">
        <f>SUM(F254)</f>
        <v>51000</v>
      </c>
      <c r="K254" s="266">
        <v>102.6</v>
      </c>
      <c r="L254" s="101">
        <f>SUM(J254/$J$259)+Q235</f>
        <v>4.6824324324324325</v>
      </c>
      <c r="M254" s="268">
        <f t="shared" si="50"/>
        <v>113.31486486486486</v>
      </c>
    </row>
    <row r="255" spans="1:13" x14ac:dyDescent="0.25">
      <c r="E255" s="117"/>
      <c r="F255" s="103"/>
      <c r="G255" s="103"/>
      <c r="K255" s="266"/>
      <c r="L255" s="15"/>
      <c r="M255" s="270"/>
    </row>
    <row r="256" spans="1:13" x14ac:dyDescent="0.25">
      <c r="A256" s="60" t="s">
        <v>303</v>
      </c>
      <c r="E256" s="117"/>
      <c r="F256" s="103"/>
      <c r="G256" s="103"/>
      <c r="K256" s="266"/>
      <c r="L256" s="15"/>
      <c r="M256" s="270"/>
    </row>
    <row r="257" spans="1:13" x14ac:dyDescent="0.25">
      <c r="A257" t="s">
        <v>319</v>
      </c>
      <c r="B257">
        <v>1937</v>
      </c>
      <c r="E257" s="117"/>
      <c r="F257" s="117">
        <v>12000</v>
      </c>
      <c r="G257" s="117"/>
      <c r="J257" s="118">
        <f>SUM(F257)</f>
        <v>12000</v>
      </c>
      <c r="K257" s="266">
        <v>22.5</v>
      </c>
      <c r="L257" s="15"/>
      <c r="M257" s="270"/>
    </row>
    <row r="258" spans="1:13" x14ac:dyDescent="0.25">
      <c r="A258" t="s">
        <v>320</v>
      </c>
      <c r="B258">
        <v>1938</v>
      </c>
      <c r="E258" s="103"/>
      <c r="F258" s="117">
        <v>12000</v>
      </c>
      <c r="G258" s="117"/>
      <c r="J258" s="118">
        <f>SUM(F258)</f>
        <v>12000</v>
      </c>
      <c r="K258" s="266">
        <v>23.4</v>
      </c>
      <c r="L258" s="101"/>
      <c r="M258" s="270"/>
    </row>
    <row r="259" spans="1:13" x14ac:dyDescent="0.25">
      <c r="A259" t="s">
        <v>321</v>
      </c>
      <c r="B259">
        <v>1939</v>
      </c>
      <c r="E259" s="117">
        <v>6000</v>
      </c>
      <c r="F259" s="117">
        <v>12000</v>
      </c>
      <c r="G259" s="103"/>
      <c r="J259" s="118">
        <f>SUM(F259)</f>
        <v>12000</v>
      </c>
      <c r="K259" s="266">
        <v>24.2</v>
      </c>
      <c r="L259" s="199">
        <v>1</v>
      </c>
      <c r="M259" s="268">
        <f t="shared" ref="M259:M268" si="51">SUM($K$259*L259)</f>
        <v>24.2</v>
      </c>
    </row>
    <row r="260" spans="1:13" x14ac:dyDescent="0.25">
      <c r="A260" t="s">
        <v>322</v>
      </c>
      <c r="B260">
        <v>1940</v>
      </c>
      <c r="E260" s="117">
        <v>4000</v>
      </c>
      <c r="F260" s="117">
        <v>7800</v>
      </c>
      <c r="G260" s="103"/>
      <c r="J260" s="118">
        <f>SUM(F260)</f>
        <v>7800</v>
      </c>
      <c r="K260" s="266">
        <v>24.4</v>
      </c>
      <c r="L260" s="101">
        <f>SUM(J260/$J$259)+Q234</f>
        <v>0.97432432432432436</v>
      </c>
      <c r="M260" s="268">
        <f t="shared" si="51"/>
        <v>23.578648648648649</v>
      </c>
    </row>
    <row r="261" spans="1:13" x14ac:dyDescent="0.25">
      <c r="A261" t="s">
        <v>323</v>
      </c>
      <c r="B261">
        <v>1942</v>
      </c>
      <c r="E261" s="117"/>
      <c r="F261" s="117">
        <v>4000</v>
      </c>
      <c r="G261" s="103"/>
      <c r="J261" s="118">
        <f>SUM(F261)</f>
        <v>4000</v>
      </c>
      <c r="K261" s="266">
        <v>25.2</v>
      </c>
      <c r="L261" s="101">
        <f>SUM(J261/$J$259)+Q235</f>
        <v>0.76576576576576572</v>
      </c>
      <c r="M261" s="268">
        <f t="shared" si="51"/>
        <v>18.531531531531531</v>
      </c>
    </row>
    <row r="262" spans="1:13" x14ac:dyDescent="0.25">
      <c r="A262" t="s">
        <v>324</v>
      </c>
      <c r="B262">
        <v>1943</v>
      </c>
      <c r="E262" s="117">
        <v>2000</v>
      </c>
      <c r="F262" s="117"/>
      <c r="G262" s="103"/>
      <c r="J262" s="118">
        <f>SUM(E262)</f>
        <v>2000</v>
      </c>
      <c r="K262" s="266">
        <v>25.6</v>
      </c>
      <c r="L262" s="101">
        <f>SUM(J262/$J$259)+Q236</f>
        <v>0.7072072072072072</v>
      </c>
      <c r="M262" s="268">
        <f t="shared" si="51"/>
        <v>17.114414414414412</v>
      </c>
    </row>
    <row r="263" spans="1:13" x14ac:dyDescent="0.25">
      <c r="A263" t="s">
        <v>325</v>
      </c>
      <c r="B263">
        <v>1943</v>
      </c>
      <c r="E263" s="117"/>
      <c r="F263" s="117">
        <v>9000</v>
      </c>
      <c r="G263" s="117"/>
      <c r="J263" s="118">
        <f t="shared" ref="J263:J272" si="52">SUM(F263)</f>
        <v>9000</v>
      </c>
      <c r="K263" s="266">
        <v>53.9</v>
      </c>
      <c r="L263" s="101">
        <f>SUM(J263/$J$259)+Q236</f>
        <v>1.2905405405405406</v>
      </c>
      <c r="M263" s="268">
        <f t="shared" si="51"/>
        <v>31.231081081081079</v>
      </c>
    </row>
    <row r="264" spans="1:13" x14ac:dyDescent="0.25">
      <c r="A264" s="271" t="s">
        <v>326</v>
      </c>
      <c r="B264" s="271"/>
      <c r="C264" s="271"/>
      <c r="D264" s="271"/>
      <c r="E264" s="272">
        <v>3800</v>
      </c>
      <c r="F264" s="273">
        <v>17000</v>
      </c>
      <c r="G264" s="103"/>
      <c r="J264" s="118">
        <f t="shared" si="52"/>
        <v>17000</v>
      </c>
      <c r="K264" s="266">
        <v>42</v>
      </c>
      <c r="L264" s="101">
        <f>SUM(J264/$J$259)</f>
        <v>1.4166666666666667</v>
      </c>
      <c r="M264" s="268">
        <f t="shared" si="51"/>
        <v>34.283333333333331</v>
      </c>
    </row>
    <row r="265" spans="1:13" x14ac:dyDescent="0.25">
      <c r="A265" t="s">
        <v>327</v>
      </c>
      <c r="B265">
        <v>1941</v>
      </c>
      <c r="E265" s="117">
        <v>5900</v>
      </c>
      <c r="F265" s="117">
        <v>9500</v>
      </c>
      <c r="G265" s="103"/>
      <c r="J265" s="118">
        <f t="shared" si="52"/>
        <v>9500</v>
      </c>
      <c r="K265" s="266">
        <v>26.9</v>
      </c>
      <c r="L265" s="101">
        <f>SUM(J265/$J$259)+Q235</f>
        <v>1.224099099099099</v>
      </c>
      <c r="M265" s="268">
        <f t="shared" si="51"/>
        <v>29.623198198198196</v>
      </c>
    </row>
    <row r="266" spans="1:13" x14ac:dyDescent="0.25">
      <c r="A266" t="s">
        <v>328</v>
      </c>
      <c r="B266">
        <v>1939</v>
      </c>
      <c r="E266" s="117">
        <v>18600</v>
      </c>
      <c r="F266" s="117">
        <v>54800</v>
      </c>
      <c r="G266" s="103"/>
      <c r="J266" s="118">
        <f t="shared" si="52"/>
        <v>54800</v>
      </c>
      <c r="K266" s="266">
        <v>95.6</v>
      </c>
      <c r="L266" s="101">
        <f>SUM(J266/$J$259)+Q234</f>
        <v>4.890990990990991</v>
      </c>
      <c r="M266" s="268">
        <f t="shared" si="51"/>
        <v>118.36198198198198</v>
      </c>
    </row>
    <row r="267" spans="1:13" x14ac:dyDescent="0.25">
      <c r="A267" t="s">
        <v>329</v>
      </c>
      <c r="B267">
        <v>1940</v>
      </c>
      <c r="E267" s="117">
        <v>14500</v>
      </c>
      <c r="F267" s="117">
        <v>24800</v>
      </c>
      <c r="G267" s="103"/>
      <c r="J267" s="118">
        <f t="shared" si="52"/>
        <v>24800</v>
      </c>
      <c r="K267" s="266">
        <v>97.5</v>
      </c>
      <c r="L267" s="101">
        <f>SUM(J267/$J$259)+Q235</f>
        <v>2.4990990990990993</v>
      </c>
      <c r="M267" s="268">
        <f t="shared" si="51"/>
        <v>60.4781981981982</v>
      </c>
    </row>
    <row r="268" spans="1:13" x14ac:dyDescent="0.25">
      <c r="A268" t="s">
        <v>330</v>
      </c>
      <c r="B268">
        <v>1941</v>
      </c>
      <c r="E268" s="117">
        <v>10700</v>
      </c>
      <c r="F268" s="117">
        <v>14800</v>
      </c>
      <c r="G268" s="103"/>
      <c r="J268" s="118">
        <f t="shared" si="52"/>
        <v>14800</v>
      </c>
      <c r="K268" s="266">
        <v>52.5</v>
      </c>
      <c r="L268" s="101">
        <f>SUM(J268/$J$259)+Q235</f>
        <v>1.6657657657657658</v>
      </c>
      <c r="M268" s="268">
        <f t="shared" si="51"/>
        <v>40.311531531531536</v>
      </c>
    </row>
    <row r="269" spans="1:13" x14ac:dyDescent="0.25">
      <c r="A269" t="s">
        <v>331</v>
      </c>
      <c r="E269" s="117">
        <v>49500</v>
      </c>
      <c r="F269" s="117">
        <v>113000</v>
      </c>
      <c r="G269" s="103"/>
      <c r="J269" s="118">
        <f t="shared" si="52"/>
        <v>113000</v>
      </c>
      <c r="K269" s="266"/>
      <c r="L269" s="15"/>
      <c r="M269" s="270"/>
    </row>
    <row r="270" spans="1:13" x14ac:dyDescent="0.25">
      <c r="A270" t="s">
        <v>332</v>
      </c>
      <c r="E270" s="117">
        <v>62600</v>
      </c>
      <c r="F270" s="117">
        <v>142100</v>
      </c>
      <c r="G270" s="103"/>
      <c r="J270" s="118">
        <f t="shared" si="52"/>
        <v>142100</v>
      </c>
      <c r="K270" s="266"/>
      <c r="L270" s="15"/>
      <c r="M270" s="270"/>
    </row>
    <row r="271" spans="1:13" x14ac:dyDescent="0.25">
      <c r="A271" t="s">
        <v>333</v>
      </c>
      <c r="B271">
        <v>1941</v>
      </c>
      <c r="E271" s="117">
        <v>9600</v>
      </c>
      <c r="F271" s="117">
        <v>14800</v>
      </c>
      <c r="G271" s="103"/>
      <c r="J271" s="118">
        <f>SUM(E271+F271)/2</f>
        <v>12200</v>
      </c>
      <c r="K271" s="266">
        <v>45.4</v>
      </c>
      <c r="L271" s="101">
        <f>SUM(J271/$J$259)+Q235</f>
        <v>1.4490990990990991</v>
      </c>
      <c r="M271" s="268">
        <f>SUM($K$259*L271)</f>
        <v>35.068198198198196</v>
      </c>
    </row>
    <row r="272" spans="1:13" x14ac:dyDescent="0.25">
      <c r="A272" t="s">
        <v>334</v>
      </c>
      <c r="B272">
        <v>1941</v>
      </c>
      <c r="E272" s="117">
        <v>9100</v>
      </c>
      <c r="F272" s="117">
        <v>9600</v>
      </c>
      <c r="G272" s="103"/>
      <c r="J272" s="118">
        <f t="shared" si="52"/>
        <v>9600</v>
      </c>
      <c r="K272" s="266">
        <v>30.1</v>
      </c>
      <c r="L272" s="101">
        <f>SUM(J272/$J$259)+Q235</f>
        <v>1.2324324324324325</v>
      </c>
      <c r="M272" s="268">
        <f>SUM($K$259*L272)</f>
        <v>29.824864864864864</v>
      </c>
    </row>
    <row r="273" spans="1:13" x14ac:dyDescent="0.25">
      <c r="E273" s="103"/>
      <c r="F273" s="103"/>
      <c r="G273" s="103"/>
    </row>
    <row r="274" spans="1:13" x14ac:dyDescent="0.25">
      <c r="E274" s="103"/>
      <c r="F274" s="103"/>
      <c r="G274" s="103"/>
    </row>
    <row r="275" spans="1:13" x14ac:dyDescent="0.25">
      <c r="A275" t="s">
        <v>335</v>
      </c>
      <c r="E275" s="103"/>
      <c r="F275" s="103"/>
      <c r="G275" s="103">
        <v>22.8</v>
      </c>
      <c r="J275" s="15">
        <f>SUM(G275)*10</f>
        <v>228</v>
      </c>
      <c r="L275" s="101">
        <f>SUM(J275/$J$259)+Q249</f>
        <v>1.9E-2</v>
      </c>
      <c r="M275" s="268">
        <f>SUM($K$259*L275)</f>
        <v>0.45979999999999999</v>
      </c>
    </row>
    <row r="276" spans="1:13" x14ac:dyDescent="0.25">
      <c r="A276" t="s">
        <v>336</v>
      </c>
      <c r="E276" s="103"/>
      <c r="F276" s="103"/>
      <c r="G276" s="103">
        <v>12.2</v>
      </c>
    </row>
    <row r="277" spans="1:13" x14ac:dyDescent="0.25">
      <c r="A277" t="s">
        <v>337</v>
      </c>
      <c r="E277" s="103"/>
      <c r="F277" s="103"/>
      <c r="G277" s="103">
        <v>5.0999999999999996</v>
      </c>
    </row>
    <row r="278" spans="1:13" x14ac:dyDescent="0.25">
      <c r="A278" t="s">
        <v>338</v>
      </c>
      <c r="E278" s="103"/>
      <c r="F278" s="103"/>
      <c r="G278" s="103">
        <v>150</v>
      </c>
    </row>
    <row r="279" spans="1:13" x14ac:dyDescent="0.25">
      <c r="A279" t="s">
        <v>339</v>
      </c>
      <c r="E279" s="103"/>
      <c r="F279" s="103"/>
      <c r="G279" s="103">
        <v>75</v>
      </c>
    </row>
    <row r="280" spans="1:13" x14ac:dyDescent="0.25">
      <c r="E280" s="103"/>
      <c r="F280" s="103"/>
      <c r="G280" s="103"/>
    </row>
    <row r="281" spans="1:13" x14ac:dyDescent="0.25">
      <c r="A281" t="s">
        <v>340</v>
      </c>
      <c r="E281" s="103"/>
      <c r="F281" s="103"/>
      <c r="G281" s="103">
        <v>4500</v>
      </c>
    </row>
    <row r="282" spans="1:13" x14ac:dyDescent="0.25">
      <c r="A282" t="s">
        <v>341</v>
      </c>
      <c r="E282" s="103"/>
      <c r="F282" s="103"/>
      <c r="G282" s="103">
        <v>2400</v>
      </c>
    </row>
    <row r="283" spans="1:13" x14ac:dyDescent="0.25">
      <c r="E283" s="103"/>
      <c r="F283" s="103"/>
      <c r="G283" s="103"/>
    </row>
    <row r="284" spans="1:13" x14ac:dyDescent="0.25">
      <c r="A284" t="s">
        <v>342</v>
      </c>
      <c r="E284" s="103"/>
      <c r="F284" s="103"/>
      <c r="G284" s="103">
        <v>1780000</v>
      </c>
    </row>
    <row r="285" spans="1:13" x14ac:dyDescent="0.25">
      <c r="A285" t="s">
        <v>343</v>
      </c>
      <c r="G285" s="103">
        <v>320000</v>
      </c>
      <c r="J285" s="103">
        <v>320000</v>
      </c>
      <c r="K285" s="266">
        <v>950</v>
      </c>
      <c r="L285" s="101">
        <f>SUM(J285/$J$259)+Q259</f>
        <v>26.666666666666668</v>
      </c>
      <c r="M285" s="268">
        <f>SUM($K$259*L285)</f>
        <v>645.33333333333337</v>
      </c>
    </row>
    <row r="287" spans="1:13" x14ac:dyDescent="0.25">
      <c r="A287" t="s">
        <v>10</v>
      </c>
    </row>
    <row r="288" spans="1:13" x14ac:dyDescent="0.25">
      <c r="A288" t="s">
        <v>344</v>
      </c>
      <c r="G288" s="103">
        <v>7360000</v>
      </c>
    </row>
    <row r="289" spans="1:15" x14ac:dyDescent="0.25">
      <c r="A289" t="s">
        <v>345</v>
      </c>
      <c r="G289" s="103">
        <v>4978400</v>
      </c>
    </row>
    <row r="293" spans="1:15" x14ac:dyDescent="0.25">
      <c r="E293" s="91" t="s">
        <v>52</v>
      </c>
      <c r="F293" s="91" t="s">
        <v>53</v>
      </c>
      <c r="G293" s="91" t="s">
        <v>54</v>
      </c>
      <c r="H293" s="91" t="s">
        <v>33</v>
      </c>
      <c r="N293" s="21" t="s">
        <v>346</v>
      </c>
      <c r="O293" s="21"/>
    </row>
    <row r="294" spans="1:15" x14ac:dyDescent="0.25">
      <c r="E294" s="93">
        <v>10</v>
      </c>
      <c r="F294" s="94">
        <v>0.27</v>
      </c>
      <c r="G294" s="95">
        <v>0.57999999999999996</v>
      </c>
      <c r="H294" s="96">
        <f>(E294*F294)+((E294*F294)*G294)</f>
        <v>4.266</v>
      </c>
      <c r="M294" s="60" t="s">
        <v>92</v>
      </c>
      <c r="N294" s="274">
        <v>252</v>
      </c>
    </row>
    <row r="296" spans="1:15" x14ac:dyDescent="0.25">
      <c r="B296" s="122" t="s">
        <v>91</v>
      </c>
      <c r="C296" s="122"/>
      <c r="D296" s="122"/>
      <c r="E296" s="275" t="s">
        <v>92</v>
      </c>
      <c r="F296" s="126" t="s">
        <v>93</v>
      </c>
      <c r="G296" s="127"/>
      <c r="H296" s="122" t="s">
        <v>91</v>
      </c>
      <c r="I296" s="122"/>
      <c r="J296" s="122"/>
      <c r="K296" s="107"/>
      <c r="N296" s="21"/>
      <c r="O296" s="21"/>
    </row>
    <row r="297" spans="1:15" ht="15.75" thickBot="1" x14ac:dyDescent="0.3">
      <c r="A297" s="125">
        <v>1939</v>
      </c>
      <c r="B297" s="129" t="s">
        <v>96</v>
      </c>
      <c r="C297" s="129" t="s">
        <v>97</v>
      </c>
      <c r="D297" s="129" t="s">
        <v>98</v>
      </c>
      <c r="E297" s="91" t="s">
        <v>347</v>
      </c>
      <c r="F297" s="99" t="s">
        <v>62</v>
      </c>
      <c r="G297" s="99" t="s">
        <v>99</v>
      </c>
      <c r="H297" s="129" t="s">
        <v>63</v>
      </c>
      <c r="I297" s="130" t="s">
        <v>100</v>
      </c>
      <c r="J297" s="100" t="s">
        <v>64</v>
      </c>
      <c r="K297" s="91" t="s">
        <v>66</v>
      </c>
      <c r="M297" s="132" t="s">
        <v>64</v>
      </c>
      <c r="N297" s="30" t="s">
        <v>348</v>
      </c>
      <c r="O297" s="30" t="s">
        <v>349</v>
      </c>
    </row>
    <row r="298" spans="1:15" x14ac:dyDescent="0.25">
      <c r="A298" s="219" t="s">
        <v>168</v>
      </c>
      <c r="B298" s="134">
        <v>25.16</v>
      </c>
      <c r="C298" s="220">
        <f>SUM($H$294/B298)</f>
        <v>0.16955484896661366</v>
      </c>
      <c r="D298" s="221">
        <f>SUM(($H$294*J298*365)/B298)</f>
        <v>1547.1879968203498</v>
      </c>
      <c r="E298" s="137">
        <f t="shared" ref="E298:E310" si="53">SUM(B298/$H$17)</f>
        <v>1.7439523116379012</v>
      </c>
      <c r="F298" s="138">
        <v>1540</v>
      </c>
      <c r="G298" s="139">
        <f t="shared" ref="G298:G310" si="54">SUM(F298/365)</f>
        <v>4.2191780821917808</v>
      </c>
      <c r="H298" s="140">
        <f t="shared" ref="H298:H310" si="55">SUM(F298*B298)/$H$17</f>
        <v>2685.6865599223679</v>
      </c>
      <c r="I298" s="140">
        <f t="shared" ref="I298:I310" si="56">SUM(B298*F298)</f>
        <v>38746.400000000001</v>
      </c>
      <c r="J298" s="141">
        <f t="shared" ref="J298:J310" si="57">ROUNDUP(((F298*B298)/($H$294*365)),0)</f>
        <v>25</v>
      </c>
      <c r="K298" s="142">
        <f>SUM((F298*B298)/($H$294*J298))</f>
        <v>363.30426629160803</v>
      </c>
      <c r="L298" s="143">
        <f>SUM(F298:F300)</f>
        <v>1705</v>
      </c>
      <c r="M298" s="144">
        <f t="shared" ref="M298:M307" si="58">SUM(J298*(K298/365))</f>
        <v>24.883853855589592</v>
      </c>
      <c r="N298" s="276">
        <v>33</v>
      </c>
      <c r="O298" s="91">
        <f>SUM(N298*$H$294*365)</f>
        <v>51383.969999999994</v>
      </c>
    </row>
    <row r="299" spans="1:15" x14ac:dyDescent="0.25">
      <c r="A299" s="222" t="s">
        <v>350</v>
      </c>
      <c r="B299" s="223">
        <v>44.9</v>
      </c>
      <c r="C299" s="224">
        <f t="shared" ref="C299:C310" si="59">SUM($H$294/B299)</f>
        <v>9.5011135857461029E-2</v>
      </c>
      <c r="D299" s="225">
        <f t="shared" ref="D299:D310" si="60">SUM(($H$294*J299*365)/B299)</f>
        <v>34.679064587973272</v>
      </c>
      <c r="E299" s="102">
        <f t="shared" si="53"/>
        <v>3.1122201427878284</v>
      </c>
      <c r="F299" s="148">
        <v>9</v>
      </c>
      <c r="G299" s="149">
        <f t="shared" si="54"/>
        <v>2.4657534246575342E-2</v>
      </c>
      <c r="H299" s="150">
        <f t="shared" si="55"/>
        <v>28.009981285090454</v>
      </c>
      <c r="I299" s="150">
        <f t="shared" si="56"/>
        <v>404.09999999999997</v>
      </c>
      <c r="J299" s="105">
        <f t="shared" si="57"/>
        <v>1</v>
      </c>
      <c r="K299" s="151">
        <f t="shared" ref="K299:K310" si="61">SUM((F299*B299)/($H$294*J299))</f>
        <v>94.725738396624465</v>
      </c>
      <c r="M299" s="144">
        <f t="shared" si="58"/>
        <v>0.25952257094965608</v>
      </c>
      <c r="N299" s="276"/>
      <c r="O299" s="91">
        <f t="shared" ref="O299:O310" si="62">SUM(N299*$H$294*365)</f>
        <v>0</v>
      </c>
    </row>
    <row r="300" spans="1:15" ht="15.75" thickBot="1" x14ac:dyDescent="0.3">
      <c r="A300" s="227" t="s">
        <v>178</v>
      </c>
      <c r="B300" s="155">
        <v>41.7</v>
      </c>
      <c r="C300" s="228">
        <f t="shared" si="59"/>
        <v>0.10230215827338129</v>
      </c>
      <c r="D300" s="229">
        <f t="shared" si="60"/>
        <v>186.70143884892084</v>
      </c>
      <c r="E300" s="157">
        <f t="shared" si="53"/>
        <v>2.8904138074443755</v>
      </c>
      <c r="F300" s="158">
        <v>156</v>
      </c>
      <c r="G300" s="159">
        <f t="shared" si="54"/>
        <v>0.42739726027397262</v>
      </c>
      <c r="H300" s="160">
        <f t="shared" si="55"/>
        <v>450.90455396132256</v>
      </c>
      <c r="I300" s="160">
        <f t="shared" si="56"/>
        <v>6505.2000000000007</v>
      </c>
      <c r="J300" s="161">
        <f t="shared" si="57"/>
        <v>5</v>
      </c>
      <c r="K300" s="162">
        <f t="shared" si="61"/>
        <v>304.97890295358656</v>
      </c>
      <c r="M300" s="144">
        <f t="shared" si="58"/>
        <v>4.177793191145021</v>
      </c>
      <c r="N300" s="276"/>
      <c r="O300" s="91">
        <f t="shared" si="62"/>
        <v>0</v>
      </c>
    </row>
    <row r="301" spans="1:15" ht="15.75" thickBot="1" x14ac:dyDescent="0.3">
      <c r="A301" s="227" t="s">
        <v>187</v>
      </c>
      <c r="B301" s="237">
        <v>25.9</v>
      </c>
      <c r="C301" s="224">
        <f t="shared" si="59"/>
        <v>0.16471042471042471</v>
      </c>
      <c r="D301" s="225">
        <f t="shared" si="60"/>
        <v>180.35791505791508</v>
      </c>
      <c r="E301" s="102">
        <f t="shared" si="53"/>
        <v>1.7952450266860747</v>
      </c>
      <c r="F301" s="158">
        <v>134</v>
      </c>
      <c r="G301" s="159">
        <f t="shared" si="54"/>
        <v>0.36712328767123287</v>
      </c>
      <c r="H301" s="150">
        <f t="shared" si="55"/>
        <v>240.56283357593401</v>
      </c>
      <c r="I301" s="150">
        <f t="shared" si="56"/>
        <v>3470.6</v>
      </c>
      <c r="J301" s="105">
        <f t="shared" si="57"/>
        <v>3</v>
      </c>
      <c r="K301" s="151">
        <f t="shared" si="61"/>
        <v>271.18299734333488</v>
      </c>
      <c r="L301" s="143">
        <f>SUM(F301)</f>
        <v>134</v>
      </c>
      <c r="M301" s="144">
        <f t="shared" si="58"/>
        <v>2.22890134802741</v>
      </c>
      <c r="N301" s="277">
        <v>9</v>
      </c>
      <c r="O301" s="91">
        <f t="shared" si="62"/>
        <v>14013.81</v>
      </c>
    </row>
    <row r="302" spans="1:15" x14ac:dyDescent="0.25">
      <c r="A302" s="133" t="s">
        <v>189</v>
      </c>
      <c r="B302" s="134">
        <v>48.6</v>
      </c>
      <c r="C302" s="220">
        <f t="shared" si="59"/>
        <v>8.7777777777777774E-2</v>
      </c>
      <c r="D302" s="221">
        <f t="shared" si="60"/>
        <v>480.58333333333337</v>
      </c>
      <c r="E302" s="137">
        <f t="shared" si="53"/>
        <v>3.3686837180286964</v>
      </c>
      <c r="F302" s="138">
        <v>452</v>
      </c>
      <c r="G302" s="139">
        <f t="shared" si="54"/>
        <v>1.2383561643835617</v>
      </c>
      <c r="H302" s="140">
        <f t="shared" si="55"/>
        <v>1522.6450405489709</v>
      </c>
      <c r="I302" s="140">
        <f t="shared" si="56"/>
        <v>21967.200000000001</v>
      </c>
      <c r="J302" s="141">
        <f t="shared" si="57"/>
        <v>15</v>
      </c>
      <c r="K302" s="142">
        <f t="shared" si="61"/>
        <v>343.29113924050631</v>
      </c>
      <c r="L302" s="143">
        <f>SUM(F302:F305)</f>
        <v>737</v>
      </c>
      <c r="M302" s="144">
        <f t="shared" si="58"/>
        <v>14.107855037281082</v>
      </c>
      <c r="N302" s="276">
        <v>15</v>
      </c>
      <c r="O302" s="91">
        <f t="shared" si="62"/>
        <v>23356.350000000002</v>
      </c>
    </row>
    <row r="303" spans="1:15" x14ac:dyDescent="0.25">
      <c r="A303" s="145" t="s">
        <v>350</v>
      </c>
      <c r="B303" s="223">
        <v>90.63</v>
      </c>
      <c r="C303" s="224">
        <f t="shared" si="59"/>
        <v>4.7070506454816287E-2</v>
      </c>
      <c r="D303" s="225">
        <f t="shared" si="60"/>
        <v>223.34955312810328</v>
      </c>
      <c r="E303" s="102">
        <f t="shared" si="53"/>
        <v>6.2819713038053644</v>
      </c>
      <c r="F303" s="148">
        <v>215</v>
      </c>
      <c r="G303" s="149">
        <f t="shared" si="54"/>
        <v>0.58904109589041098</v>
      </c>
      <c r="H303" s="150">
        <f t="shared" si="55"/>
        <v>1350.6238303181535</v>
      </c>
      <c r="I303" s="150">
        <f t="shared" si="56"/>
        <v>19485.45</v>
      </c>
      <c r="J303" s="105">
        <f t="shared" si="57"/>
        <v>13</v>
      </c>
      <c r="K303" s="151">
        <f t="shared" si="61"/>
        <v>351.35507951963649</v>
      </c>
      <c r="M303" s="144">
        <f t="shared" si="58"/>
        <v>12.514016530836368</v>
      </c>
      <c r="N303" s="276"/>
      <c r="O303" s="91">
        <f t="shared" si="62"/>
        <v>0</v>
      </c>
    </row>
    <row r="304" spans="1:15" x14ac:dyDescent="0.25">
      <c r="A304" s="145" t="s">
        <v>350</v>
      </c>
      <c r="B304" s="223">
        <v>90.63</v>
      </c>
      <c r="C304" s="224">
        <f t="shared" si="59"/>
        <v>4.7070506454816287E-2</v>
      </c>
      <c r="D304" s="225">
        <f t="shared" si="60"/>
        <v>17.180734856007945</v>
      </c>
      <c r="E304" s="102">
        <f t="shared" si="53"/>
        <v>6.2819713038053644</v>
      </c>
      <c r="F304" s="148">
        <v>1</v>
      </c>
      <c r="G304" s="149">
        <f t="shared" si="54"/>
        <v>2.7397260273972603E-3</v>
      </c>
      <c r="H304" s="150">
        <f t="shared" si="55"/>
        <v>6.2819713038053644</v>
      </c>
      <c r="I304" s="150">
        <f t="shared" si="56"/>
        <v>90.63</v>
      </c>
      <c r="J304" s="105">
        <f t="shared" si="57"/>
        <v>1</v>
      </c>
      <c r="K304" s="151">
        <f t="shared" si="61"/>
        <v>21.244725738396625</v>
      </c>
      <c r="M304" s="144">
        <f t="shared" si="58"/>
        <v>5.8204728050401708E-2</v>
      </c>
      <c r="N304" s="276"/>
      <c r="O304" s="91">
        <f t="shared" si="62"/>
        <v>0</v>
      </c>
    </row>
    <row r="305" spans="1:15" ht="15.75" thickBot="1" x14ac:dyDescent="0.3">
      <c r="A305" s="145" t="s">
        <v>176</v>
      </c>
      <c r="B305" s="231">
        <v>52.6</v>
      </c>
      <c r="C305" s="224">
        <f t="shared" si="59"/>
        <v>8.110266159695817E-2</v>
      </c>
      <c r="D305" s="225">
        <f t="shared" si="60"/>
        <v>88.807414448669206</v>
      </c>
      <c r="E305" s="102">
        <f t="shared" si="53"/>
        <v>3.6459416372080131</v>
      </c>
      <c r="F305" s="148">
        <v>69</v>
      </c>
      <c r="G305" s="149">
        <f t="shared" si="54"/>
        <v>0.18904109589041096</v>
      </c>
      <c r="H305" s="150">
        <f t="shared" si="55"/>
        <v>251.5699729673529</v>
      </c>
      <c r="I305" s="150">
        <f t="shared" si="56"/>
        <v>3629.4</v>
      </c>
      <c r="J305" s="105">
        <f t="shared" si="57"/>
        <v>3</v>
      </c>
      <c r="K305" s="151">
        <f t="shared" si="61"/>
        <v>283.59118612283169</v>
      </c>
      <c r="M305" s="144">
        <f t="shared" si="58"/>
        <v>2.3308864612835483</v>
      </c>
      <c r="N305" s="276">
        <v>1</v>
      </c>
      <c r="O305" s="91">
        <f t="shared" si="62"/>
        <v>1557.09</v>
      </c>
    </row>
    <row r="306" spans="1:15" x14ac:dyDescent="0.25">
      <c r="A306" s="133" t="s">
        <v>197</v>
      </c>
      <c r="B306" s="134">
        <v>27.9</v>
      </c>
      <c r="C306" s="220">
        <f t="shared" si="59"/>
        <v>0.15290322580645163</v>
      </c>
      <c r="D306" s="221">
        <f>SUM(($H$294*J306*365)/B306)</f>
        <v>167.42903225806455</v>
      </c>
      <c r="E306" s="137">
        <f t="shared" si="53"/>
        <v>1.933873986275733</v>
      </c>
      <c r="F306" s="138">
        <v>137</v>
      </c>
      <c r="G306" s="139">
        <f t="shared" si="54"/>
        <v>0.37534246575342467</v>
      </c>
      <c r="H306" s="140">
        <f t="shared" si="55"/>
        <v>264.94073611977541</v>
      </c>
      <c r="I306" s="140">
        <f t="shared" si="56"/>
        <v>3822.2999999999997</v>
      </c>
      <c r="J306" s="141">
        <f t="shared" si="57"/>
        <v>3</v>
      </c>
      <c r="K306" s="142">
        <f t="shared" si="61"/>
        <v>298.66385372714484</v>
      </c>
      <c r="L306" s="143">
        <f>SUM(F306:F309)</f>
        <v>298</v>
      </c>
      <c r="M306" s="144">
        <f t="shared" si="58"/>
        <v>2.4547714004970809</v>
      </c>
      <c r="N306" s="276">
        <v>1</v>
      </c>
      <c r="O306" s="91">
        <f t="shared" si="62"/>
        <v>1557.09</v>
      </c>
    </row>
    <row r="307" spans="1:15" ht="15.75" thickBot="1" x14ac:dyDescent="0.3">
      <c r="A307" s="145" t="s">
        <v>199</v>
      </c>
      <c r="B307" s="223">
        <v>38.299999999999997</v>
      </c>
      <c r="C307" s="224">
        <f t="shared" si="59"/>
        <v>0.11138381201044387</v>
      </c>
      <c r="D307" s="225">
        <f t="shared" si="60"/>
        <v>40.655091383812014</v>
      </c>
      <c r="E307" s="102">
        <f t="shared" si="53"/>
        <v>2.6547445761419559</v>
      </c>
      <c r="F307" s="148">
        <v>26</v>
      </c>
      <c r="G307" s="149">
        <f t="shared" si="54"/>
        <v>7.1232876712328766E-2</v>
      </c>
      <c r="H307" s="150">
        <f t="shared" si="55"/>
        <v>69.023358979690855</v>
      </c>
      <c r="I307" s="150">
        <f t="shared" si="56"/>
        <v>995.8</v>
      </c>
      <c r="J307" s="105">
        <f t="shared" si="57"/>
        <v>1</v>
      </c>
      <c r="K307" s="151">
        <f t="shared" si="61"/>
        <v>233.42709798406</v>
      </c>
      <c r="M307" s="144">
        <f t="shared" si="58"/>
        <v>0.6395262958467397</v>
      </c>
      <c r="N307" s="276"/>
      <c r="O307" s="91">
        <f t="shared" si="62"/>
        <v>0</v>
      </c>
    </row>
    <row r="308" spans="1:15" x14ac:dyDescent="0.25">
      <c r="A308" s="133" t="s">
        <v>351</v>
      </c>
      <c r="B308" s="134">
        <v>36.1</v>
      </c>
      <c r="C308" s="220">
        <f t="shared" si="59"/>
        <v>0.11817174515235457</v>
      </c>
      <c r="D308" s="221">
        <f>SUM(($H$294*J308*365)/B308)</f>
        <v>86.265373961218828</v>
      </c>
      <c r="E308" s="137">
        <f t="shared" si="53"/>
        <v>2.502252720593332</v>
      </c>
      <c r="F308" s="138">
        <v>61</v>
      </c>
      <c r="G308" s="139">
        <f t="shared" si="54"/>
        <v>0.16712328767123288</v>
      </c>
      <c r="H308" s="140">
        <f t="shared" si="55"/>
        <v>152.63741595619325</v>
      </c>
      <c r="I308" s="140">
        <f t="shared" si="56"/>
        <v>2202.1</v>
      </c>
      <c r="J308" s="141">
        <f t="shared" si="57"/>
        <v>2</v>
      </c>
      <c r="K308" s="142">
        <f t="shared" si="61"/>
        <v>258.09892170651665</v>
      </c>
      <c r="M308" s="144"/>
      <c r="N308" s="276"/>
      <c r="O308" s="91">
        <f t="shared" si="62"/>
        <v>0</v>
      </c>
    </row>
    <row r="309" spans="1:15" ht="15.75" thickBot="1" x14ac:dyDescent="0.3">
      <c r="A309" s="154" t="s">
        <v>352</v>
      </c>
      <c r="B309" s="168">
        <v>35.1</v>
      </c>
      <c r="C309" s="228">
        <f t="shared" si="59"/>
        <v>0.12153846153846154</v>
      </c>
      <c r="D309" s="229">
        <f t="shared" si="60"/>
        <v>88.723076923076917</v>
      </c>
      <c r="E309" s="157">
        <f t="shared" si="53"/>
        <v>2.432938240798503</v>
      </c>
      <c r="F309" s="158">
        <v>74</v>
      </c>
      <c r="G309" s="159">
        <f t="shared" si="54"/>
        <v>0.20273972602739726</v>
      </c>
      <c r="H309" s="160">
        <f t="shared" si="55"/>
        <v>180.03742981908923</v>
      </c>
      <c r="I309" s="160">
        <f t="shared" si="56"/>
        <v>2597.4</v>
      </c>
      <c r="J309" s="161">
        <f t="shared" si="57"/>
        <v>2</v>
      </c>
      <c r="K309" s="162">
        <f t="shared" si="61"/>
        <v>304.43037974683546</v>
      </c>
      <c r="M309" s="144">
        <f>SUM(J309*(K309/365))</f>
        <v>1.6681116698456737</v>
      </c>
      <c r="N309" s="276">
        <v>1</v>
      </c>
      <c r="O309" s="91">
        <f t="shared" si="62"/>
        <v>1557.09</v>
      </c>
    </row>
    <row r="310" spans="1:15" ht="15.75" thickBot="1" x14ac:dyDescent="0.3">
      <c r="A310" s="154" t="s">
        <v>203</v>
      </c>
      <c r="B310" s="155">
        <v>52.2</v>
      </c>
      <c r="C310" s="228">
        <f t="shared" si="59"/>
        <v>8.1724137931034474E-2</v>
      </c>
      <c r="D310" s="229">
        <f t="shared" si="60"/>
        <v>149.14655172413791</v>
      </c>
      <c r="E310" s="157">
        <f t="shared" si="53"/>
        <v>3.6182158452900812</v>
      </c>
      <c r="F310" s="158">
        <v>145</v>
      </c>
      <c r="G310" s="159">
        <f t="shared" si="54"/>
        <v>0.39726027397260272</v>
      </c>
      <c r="H310" s="160">
        <f t="shared" si="55"/>
        <v>524.64129756706177</v>
      </c>
      <c r="I310" s="160">
        <f t="shared" si="56"/>
        <v>7569</v>
      </c>
      <c r="J310" s="161">
        <f t="shared" si="57"/>
        <v>5</v>
      </c>
      <c r="K310" s="162">
        <f t="shared" si="61"/>
        <v>354.85232067510549</v>
      </c>
      <c r="L310" s="143">
        <f>SUM(F310)</f>
        <v>145</v>
      </c>
      <c r="M310" s="144">
        <f>SUM(J310*(K310/365))</f>
        <v>4.8609906941795273</v>
      </c>
      <c r="N310" s="276">
        <v>1</v>
      </c>
      <c r="O310" s="91">
        <f t="shared" si="62"/>
        <v>1557.09</v>
      </c>
    </row>
    <row r="311" spans="1:15" x14ac:dyDescent="0.25">
      <c r="B311" s="15"/>
      <c r="C311" s="15"/>
      <c r="D311" s="116">
        <f>SUM(D298:D310)</f>
        <v>3291.0665773315823</v>
      </c>
      <c r="E311" s="15"/>
      <c r="F311" s="103">
        <f>SUM(F298:F310)</f>
        <v>3019</v>
      </c>
      <c r="G311" s="278">
        <f>SUM(G298:G310)</f>
        <v>8.2712328767123289</v>
      </c>
      <c r="H311" s="15"/>
      <c r="I311" s="189">
        <f>SUM(I298:I310)</f>
        <v>111485.58</v>
      </c>
      <c r="J311" s="279">
        <f>SUM(J298:J310)</f>
        <v>79</v>
      </c>
      <c r="K311" s="91"/>
      <c r="L311" s="15"/>
      <c r="M311" s="280">
        <f>SUM(M298:M310)</f>
        <v>70.184433783532086</v>
      </c>
      <c r="N311" s="281">
        <f>SUM(N298:N310)</f>
        <v>61</v>
      </c>
      <c r="O311" s="282">
        <f>SUM(O298:O310)</f>
        <v>94982.489999999976</v>
      </c>
    </row>
    <row r="313" spans="1:15" ht="15.75" thickBot="1" x14ac:dyDescent="0.3">
      <c r="A313" s="125">
        <v>1939</v>
      </c>
      <c r="B313" s="129" t="s">
        <v>96</v>
      </c>
      <c r="C313" s="129" t="s">
        <v>97</v>
      </c>
      <c r="D313" s="129" t="s">
        <v>98</v>
      </c>
      <c r="E313" s="91" t="s">
        <v>347</v>
      </c>
      <c r="F313" s="99" t="s">
        <v>62</v>
      </c>
      <c r="G313" s="99" t="s">
        <v>99</v>
      </c>
      <c r="H313" s="129" t="s">
        <v>63</v>
      </c>
      <c r="I313" s="130" t="s">
        <v>100</v>
      </c>
      <c r="J313" s="100" t="s">
        <v>64</v>
      </c>
      <c r="K313" s="91" t="s">
        <v>66</v>
      </c>
      <c r="M313" s="132" t="s">
        <v>64</v>
      </c>
      <c r="N313" s="30" t="s">
        <v>348</v>
      </c>
      <c r="O313" s="30" t="s">
        <v>349</v>
      </c>
    </row>
    <row r="314" spans="1:15" ht="15.75" thickBot="1" x14ac:dyDescent="0.3">
      <c r="A314" s="177" t="s">
        <v>283</v>
      </c>
      <c r="B314" s="192">
        <v>18.36</v>
      </c>
      <c r="C314" s="283">
        <f t="shared" ref="C314:C317" si="63">SUM($H$294/B314)</f>
        <v>0.2323529411764706</v>
      </c>
      <c r="D314" s="284">
        <f t="shared" ref="D314:D317" si="64">SUM(($H$294*J314*365)/B314)</f>
        <v>84.808823529411768</v>
      </c>
      <c r="E314" s="180">
        <f>SUM(B314/$H$17)</f>
        <v>1.272613849033063</v>
      </c>
      <c r="F314" s="181">
        <v>15</v>
      </c>
      <c r="G314" s="182">
        <f>SUM(F314/365)</f>
        <v>4.1095890410958902E-2</v>
      </c>
      <c r="H314" s="183">
        <f>SUM(F314*B314)/$H$17</f>
        <v>19.089207735495943</v>
      </c>
      <c r="I314" s="183">
        <f>SUM(B314*F314)</f>
        <v>275.39999999999998</v>
      </c>
      <c r="J314" s="184">
        <f t="shared" ref="J314:J316" si="65">ROUNDUP(((F314*B314)/($H$294*365)),0)</f>
        <v>1</v>
      </c>
      <c r="K314" s="185">
        <f t="shared" ref="K314:K315" si="66">SUM((F314*B314)/($H$294*J314))</f>
        <v>64.556962025316452</v>
      </c>
      <c r="M314" s="144">
        <f>SUM(J314*(K314/365))</f>
        <v>0.17686838911045602</v>
      </c>
      <c r="N314" s="276">
        <v>11</v>
      </c>
      <c r="O314" s="91">
        <f>SUM(N314*$H$294*365)</f>
        <v>17127.990000000002</v>
      </c>
    </row>
    <row r="315" spans="1:15" ht="15.75" thickBot="1" x14ac:dyDescent="0.3">
      <c r="A315" s="177" t="s">
        <v>353</v>
      </c>
      <c r="B315" s="285">
        <v>22.1</v>
      </c>
      <c r="C315" s="283">
        <f t="shared" si="63"/>
        <v>0.19303167420814479</v>
      </c>
      <c r="D315" s="284">
        <f t="shared" si="64"/>
        <v>211.36968325791855</v>
      </c>
      <c r="E315" s="180">
        <f>SUM(B315/$H$17)</f>
        <v>1.5318500034657241</v>
      </c>
      <c r="F315" s="181">
        <v>153</v>
      </c>
      <c r="G315" s="182">
        <f>SUM(F315/365)</f>
        <v>0.41917808219178082</v>
      </c>
      <c r="H315" s="183">
        <f>SUM(F315*B315)/$H$17</f>
        <v>234.3730505302558</v>
      </c>
      <c r="I315" s="183">
        <f>SUM(B315*F315)</f>
        <v>3381.3</v>
      </c>
      <c r="J315" s="184">
        <f t="shared" si="65"/>
        <v>3</v>
      </c>
      <c r="K315" s="185">
        <f t="shared" si="66"/>
        <v>264.20534458509144</v>
      </c>
      <c r="L315" s="143">
        <f>SUM(F315)</f>
        <v>153</v>
      </c>
      <c r="M315" s="144">
        <f>SUM(J315*(K315/365))</f>
        <v>2.1715507774117104</v>
      </c>
      <c r="N315" s="277">
        <v>8</v>
      </c>
      <c r="O315" s="91">
        <f t="shared" ref="O315:O317" si="67">SUM(N315*$H$294*365)</f>
        <v>12456.72</v>
      </c>
    </row>
    <row r="316" spans="1:15" ht="15.75" thickBot="1" x14ac:dyDescent="0.3">
      <c r="A316" s="154" t="s">
        <v>281</v>
      </c>
      <c r="B316" s="237">
        <v>24.89</v>
      </c>
      <c r="C316" s="224">
        <f t="shared" si="63"/>
        <v>0.17139413419043792</v>
      </c>
      <c r="D316" s="225">
        <f t="shared" si="64"/>
        <v>187.67657693852954</v>
      </c>
      <c r="E316" s="102">
        <f>SUM(B316/$H$17)</f>
        <v>1.7252374020932975</v>
      </c>
      <c r="F316" s="158">
        <v>157</v>
      </c>
      <c r="G316" s="159">
        <f>SUM(F316/365)</f>
        <v>0.43013698630136987</v>
      </c>
      <c r="H316" s="150">
        <f>SUM(F316*B316)/$H$17</f>
        <v>270.8622721286477</v>
      </c>
      <c r="I316" s="150">
        <f>SUM(B316*F316)</f>
        <v>3907.73</v>
      </c>
      <c r="J316" s="105">
        <f t="shared" si="65"/>
        <v>3</v>
      </c>
      <c r="K316" s="151">
        <f t="shared" ref="K316" si="68">SUM((F316*B316)/($H$294*J316))</f>
        <v>305.33911548679481</v>
      </c>
      <c r="L316" s="143">
        <f>SUM(F316)</f>
        <v>157</v>
      </c>
      <c r="M316" s="144">
        <f>SUM(J316*(K316/365))</f>
        <v>2.5096365656448891</v>
      </c>
      <c r="N316" s="277">
        <v>9</v>
      </c>
      <c r="O316" s="91">
        <f t="shared" si="67"/>
        <v>14013.81</v>
      </c>
    </row>
    <row r="317" spans="1:15" ht="15.75" thickBot="1" x14ac:dyDescent="0.3">
      <c r="A317" s="177" t="s">
        <v>280</v>
      </c>
      <c r="B317" s="192">
        <v>28.79</v>
      </c>
      <c r="C317" s="283">
        <f t="shared" si="63"/>
        <v>0.14817645015630429</v>
      </c>
      <c r="D317" s="284">
        <f t="shared" si="64"/>
        <v>54.084404307051059</v>
      </c>
      <c r="E317" s="180">
        <f>SUM(B317/$H$17)</f>
        <v>1.9955638732931309</v>
      </c>
      <c r="F317" s="181">
        <v>45</v>
      </c>
      <c r="G317" s="182">
        <f>SUM(F317/365)</f>
        <v>0.12328767123287671</v>
      </c>
      <c r="H317" s="183">
        <f>SUM(F317*B317)/$H$17</f>
        <v>89.800374298190889</v>
      </c>
      <c r="I317" s="183">
        <f>SUM(B317*F317)</f>
        <v>1295.55</v>
      </c>
      <c r="J317" s="184">
        <f>ROUNDUP(((F317*B317)/($H$294*365)),0)</f>
        <v>1</v>
      </c>
      <c r="K317" s="185">
        <f t="shared" ref="K317" si="69">SUM((F317*B317)/($H$294*J317))</f>
        <v>303.69198312236284</v>
      </c>
      <c r="L317" s="143">
        <f>SUM(F317:F317)</f>
        <v>45</v>
      </c>
      <c r="M317" s="144">
        <f>SUM(J317*(K317/365))</f>
        <v>0.83203283047222698</v>
      </c>
      <c r="N317" s="276">
        <v>3</v>
      </c>
      <c r="O317" s="91">
        <f t="shared" si="67"/>
        <v>4671.2700000000004</v>
      </c>
    </row>
    <row r="318" spans="1:15" x14ac:dyDescent="0.25">
      <c r="B318" s="15"/>
      <c r="C318" s="15"/>
      <c r="D318" s="116">
        <f>SUM(D314:D317)</f>
        <v>537.93948803291096</v>
      </c>
      <c r="E318" s="15"/>
      <c r="F318" s="103">
        <f>SUM(F314:F317)</f>
        <v>370</v>
      </c>
      <c r="G318" s="278">
        <f>SUM(G314:G317)</f>
        <v>1.0136986301369864</v>
      </c>
      <c r="H318" s="15"/>
      <c r="I318" s="189">
        <f>SUM(I314:I317)</f>
        <v>8859.98</v>
      </c>
      <c r="J318" s="279">
        <f>SUM(J314:J317)</f>
        <v>8</v>
      </c>
      <c r="K318" s="91"/>
      <c r="L318" s="15"/>
      <c r="M318" s="280">
        <f>SUM(M314:M317)</f>
        <v>5.690088562639283</v>
      </c>
      <c r="N318" s="281">
        <f>SUM(N314:N317)</f>
        <v>31</v>
      </c>
      <c r="O318" s="282">
        <f>SUM(O314:O317)</f>
        <v>48269.789999999994</v>
      </c>
    </row>
    <row r="320" spans="1:15" x14ac:dyDescent="0.25">
      <c r="N320" s="286">
        <f>SUM(N294-N311-N318)</f>
        <v>160</v>
      </c>
    </row>
    <row r="322" spans="1:31" x14ac:dyDescent="0.25">
      <c r="E322" s="91" t="s">
        <v>52</v>
      </c>
      <c r="F322" s="91" t="s">
        <v>53</v>
      </c>
      <c r="G322" s="91" t="s">
        <v>54</v>
      </c>
      <c r="H322" s="91" t="s">
        <v>33</v>
      </c>
      <c r="N322" s="21" t="s">
        <v>346</v>
      </c>
      <c r="O322" s="21"/>
    </row>
    <row r="323" spans="1:31" x14ac:dyDescent="0.25">
      <c r="E323" s="93">
        <v>10</v>
      </c>
      <c r="F323" s="94">
        <v>0.17</v>
      </c>
      <c r="G323" s="95">
        <v>0.4</v>
      </c>
      <c r="H323" s="96">
        <f>(E323*F323)+((E323*F323)*G323)</f>
        <v>2.3800000000000003</v>
      </c>
      <c r="L323" s="22" t="s">
        <v>24</v>
      </c>
      <c r="M323" s="60" t="s">
        <v>92</v>
      </c>
      <c r="N323" s="274">
        <v>125</v>
      </c>
      <c r="R323" t="s">
        <v>354</v>
      </c>
      <c r="T323" s="15" t="s">
        <v>24</v>
      </c>
      <c r="X323" t="s">
        <v>355</v>
      </c>
      <c r="Z323" t="s">
        <v>354</v>
      </c>
      <c r="AB323" t="s">
        <v>354</v>
      </c>
    </row>
    <row r="324" spans="1:31" ht="15.75" thickBot="1" x14ac:dyDescent="0.3">
      <c r="T324" s="287">
        <v>13150</v>
      </c>
      <c r="U324" s="174">
        <v>13515</v>
      </c>
      <c r="X324" s="174">
        <v>14033</v>
      </c>
      <c r="Z324" s="174">
        <v>13881</v>
      </c>
      <c r="AB324" s="174">
        <v>14033</v>
      </c>
      <c r="AD324" s="174"/>
    </row>
    <row r="325" spans="1:31" ht="15.75" thickBot="1" x14ac:dyDescent="0.3">
      <c r="A325" s="125" t="s">
        <v>356</v>
      </c>
      <c r="B325" s="129" t="s">
        <v>96</v>
      </c>
      <c r="C325" s="129" t="s">
        <v>97</v>
      </c>
      <c r="D325" s="129" t="s">
        <v>357</v>
      </c>
      <c r="E325" s="91" t="s">
        <v>347</v>
      </c>
      <c r="F325" s="99" t="s">
        <v>358</v>
      </c>
      <c r="G325" s="99" t="s">
        <v>99</v>
      </c>
      <c r="H325" s="129" t="s">
        <v>63</v>
      </c>
      <c r="I325" s="130" t="s">
        <v>100</v>
      </c>
      <c r="J325" s="100" t="s">
        <v>64</v>
      </c>
      <c r="K325" s="91" t="s">
        <v>66</v>
      </c>
      <c r="M325" s="132" t="s">
        <v>64</v>
      </c>
      <c r="N325" s="30" t="s">
        <v>348</v>
      </c>
      <c r="O325" s="30" t="s">
        <v>349</v>
      </c>
      <c r="Q325" s="133" t="s">
        <v>359</v>
      </c>
      <c r="R325" s="288">
        <v>14246</v>
      </c>
      <c r="T325" s="15"/>
    </row>
    <row r="326" spans="1:31" ht="15.75" thickBot="1" x14ac:dyDescent="0.3">
      <c r="A326" s="177" t="s">
        <v>284</v>
      </c>
      <c r="B326" s="192">
        <v>15.2</v>
      </c>
      <c r="C326" s="283">
        <f>SUM($H$323/B326)</f>
        <v>0.1565789473684211</v>
      </c>
      <c r="D326" s="284">
        <f>SUM(($H$323*J326*1095)/B326)</f>
        <v>1200.1776315789477</v>
      </c>
      <c r="E326" s="180">
        <f>SUM(B326/$H$323)</f>
        <v>6.3865546218487381</v>
      </c>
      <c r="F326" s="289">
        <v>1153</v>
      </c>
      <c r="G326" s="182">
        <f>SUM(F326/1095)</f>
        <v>1.0529680365296803</v>
      </c>
      <c r="H326" s="183">
        <f>SUM(F326*B326)/$H$323</f>
        <v>7363.6974789915948</v>
      </c>
      <c r="I326" s="183">
        <f>SUM(B326*F326)</f>
        <v>17525.599999999999</v>
      </c>
      <c r="J326" s="184">
        <f>ROUNDUP(((F326*B326)/($H$323*1095)),0)</f>
        <v>7</v>
      </c>
      <c r="K326" s="185">
        <f>SUM((F326*B326)/($H$323*J326))</f>
        <v>1051.956782713085</v>
      </c>
      <c r="L326" s="143"/>
      <c r="M326" s="144">
        <f>SUM(J326*(K326/1095))</f>
        <v>6.7248378803576205</v>
      </c>
      <c r="N326" s="276">
        <v>10</v>
      </c>
      <c r="O326" s="91">
        <f>SUM(N326*$H$294*1095)</f>
        <v>46712.7</v>
      </c>
      <c r="P326" s="60" t="s">
        <v>24</v>
      </c>
      <c r="Q326" s="290" t="s">
        <v>284</v>
      </c>
      <c r="R326" s="291">
        <v>1303</v>
      </c>
      <c r="S326" s="292">
        <f>SUM(R326*$B326)</f>
        <v>19805.599999999999</v>
      </c>
      <c r="T326" s="15">
        <v>716</v>
      </c>
      <c r="U326">
        <v>1146</v>
      </c>
      <c r="V326" s="293">
        <f>IF((F326-U326)/730&lt;1,IF((F326-U326)/(730/7)&lt;1,(F326-U326)/(730/30),(F326-U326)/(730/7)),(F326-U326)/730)</f>
        <v>0.28767123287671237</v>
      </c>
      <c r="W326" t="str">
        <f>IF((F326-U326)/730&lt;1,IF((F326-U326)/(730/7)&lt;1,"/Mouth","/Week"),"/Day")</f>
        <v>/Mouth</v>
      </c>
      <c r="X326">
        <v>1081</v>
      </c>
      <c r="Y326" s="292">
        <f>SUM(X326*$B326)</f>
        <v>16431.2</v>
      </c>
      <c r="Z326">
        <v>1261</v>
      </c>
      <c r="AA326" s="292">
        <f>SUM(Z326*$B326)</f>
        <v>19167.2</v>
      </c>
      <c r="AB326">
        <v>1510</v>
      </c>
      <c r="AC326" s="292">
        <f>SUM(AB326*$B326)</f>
        <v>22952</v>
      </c>
      <c r="AE326" s="292"/>
    </row>
    <row r="327" spans="1:31" ht="15.75" thickBot="1" x14ac:dyDescent="0.3">
      <c r="A327" s="177" t="s">
        <v>283</v>
      </c>
      <c r="B327" s="192">
        <v>18.36</v>
      </c>
      <c r="C327" s="283">
        <f>SUM($H$323/B327)</f>
        <v>0.12962962962962965</v>
      </c>
      <c r="D327" s="284">
        <f>SUM(($H$323*J327*1095)/B327)</f>
        <v>1277.5000000000002</v>
      </c>
      <c r="E327" s="180">
        <f>SUM(B327/$H$323)</f>
        <v>7.7142857142857126</v>
      </c>
      <c r="F327" s="181">
        <v>1223</v>
      </c>
      <c r="G327" s="182">
        <f>SUM(F327/1095)</f>
        <v>1.1168949771689498</v>
      </c>
      <c r="H327" s="183">
        <f>SUM(F327*B327)/$H$323</f>
        <v>9434.5714285714275</v>
      </c>
      <c r="I327" s="183">
        <f>SUM(B327*F327)</f>
        <v>22454.28</v>
      </c>
      <c r="J327" s="184">
        <f t="shared" ref="J327:J329" si="70">ROUNDUP(((F327*B327)/($H$323*1095)),0)</f>
        <v>9</v>
      </c>
      <c r="K327" s="185">
        <f>SUM((F327*B327)/($H$323*J327))</f>
        <v>1048.2857142857142</v>
      </c>
      <c r="M327" s="144">
        <f t="shared" ref="M327:M329" si="71">SUM(J327*(K327/1095))</f>
        <v>8.6160469667318971</v>
      </c>
      <c r="N327" s="294">
        <v>6</v>
      </c>
      <c r="O327" s="91">
        <f t="shared" ref="O327:O329" si="72">SUM(N327*$H$294*1095)</f>
        <v>28027.62</v>
      </c>
      <c r="Q327" s="145" t="s">
        <v>283</v>
      </c>
      <c r="R327" s="295">
        <v>1661</v>
      </c>
      <c r="S327" s="292">
        <f>SUM(R327*$B327)</f>
        <v>30495.96</v>
      </c>
      <c r="T327" s="15"/>
      <c r="U327">
        <v>155</v>
      </c>
      <c r="V327" s="293">
        <f>IF((F327-U327)/730&lt;1,IF((F327-U327)/(730/7)&lt;1,(F327-U327)/(730/30),(F327-U327)/(730/7)),(F327-U327)/730)</f>
        <v>1.463013698630137</v>
      </c>
      <c r="W327" t="str">
        <f>IF((F327-U327)/730&lt;1,IF((F327-U327)/(730/7)&lt;1,"/Mouth","/Week"),"/Day")</f>
        <v>/Day</v>
      </c>
      <c r="X327">
        <v>1107</v>
      </c>
      <c r="Y327" s="292">
        <f>SUM(X327*$B327)</f>
        <v>20324.52</v>
      </c>
      <c r="Z327">
        <v>624</v>
      </c>
      <c r="AA327" s="292">
        <f>SUM(Z327*$B327)</f>
        <v>11456.64</v>
      </c>
      <c r="AB327">
        <v>781</v>
      </c>
      <c r="AC327" s="292">
        <f>SUM(AB327*$B327)</f>
        <v>14339.16</v>
      </c>
      <c r="AE327" s="292"/>
    </row>
    <row r="328" spans="1:31" ht="15.75" thickBot="1" x14ac:dyDescent="0.3">
      <c r="A328" s="177" t="s">
        <v>281</v>
      </c>
      <c r="B328" s="237">
        <v>24.89</v>
      </c>
      <c r="C328" s="283">
        <f>SUM($H$323/B328)</f>
        <v>9.5620731217356383E-2</v>
      </c>
      <c r="D328" s="284">
        <f>SUM(($H$323*J328*1095)/B328)</f>
        <v>104.70470068300523</v>
      </c>
      <c r="E328" s="180">
        <f>SUM(B328/$H$323)</f>
        <v>10.457983193277309</v>
      </c>
      <c r="F328" s="181">
        <v>98</v>
      </c>
      <c r="G328" s="182">
        <f>SUM(F328/1095)</f>
        <v>8.9497716894977167E-2</v>
      </c>
      <c r="H328" s="183">
        <f>SUM(F328*B328)/$H$323</f>
        <v>1024.8823529411764</v>
      </c>
      <c r="I328" s="183">
        <f>SUM(B328*F328)</f>
        <v>2439.2200000000003</v>
      </c>
      <c r="J328" s="184">
        <f t="shared" si="70"/>
        <v>1</v>
      </c>
      <c r="K328" s="185">
        <f>SUM((F328*B328)/($H$323*J328))</f>
        <v>1024.8823529411764</v>
      </c>
      <c r="L328" s="143"/>
      <c r="M328" s="144">
        <f t="shared" si="71"/>
        <v>0.93596561912436194</v>
      </c>
      <c r="N328" s="294">
        <v>6</v>
      </c>
      <c r="O328" s="91">
        <f t="shared" si="72"/>
        <v>28027.62</v>
      </c>
      <c r="Q328" s="145" t="s">
        <v>281</v>
      </c>
      <c r="R328" s="295">
        <v>349</v>
      </c>
      <c r="S328" s="292">
        <f>SUM(R328*$B328)</f>
        <v>8686.61</v>
      </c>
      <c r="T328" s="15"/>
      <c r="V328" s="293">
        <f t="shared" ref="V328:V329" si="73">IF((F328-U328)/730&lt;1,IF((F328-U328)/(730/7)&lt;1,(F328-U328)/(730/30),(F328-U328)/(730/7)),(F328-U328)/730)</f>
        <v>4.0273972602739727</v>
      </c>
      <c r="W328" t="str">
        <f t="shared" ref="W328:W329" si="74">IF((F328-U328)/730&lt;1,IF((F328-U328)/(730/7)&lt;1,"/Mouth","/Week"),"/Day")</f>
        <v>/Mouth</v>
      </c>
      <c r="X328">
        <v>120</v>
      </c>
      <c r="Y328" s="292">
        <f>SUM(X328*$B328)</f>
        <v>2986.8</v>
      </c>
      <c r="Z328">
        <v>75</v>
      </c>
      <c r="AA328" s="292">
        <f>SUM(Z328*$B328)</f>
        <v>1866.75</v>
      </c>
      <c r="AB328">
        <v>168</v>
      </c>
      <c r="AC328" s="292">
        <f>SUM(AB328*$B328)</f>
        <v>4181.5200000000004</v>
      </c>
      <c r="AE328" s="292"/>
    </row>
    <row r="329" spans="1:31" ht="15.75" thickBot="1" x14ac:dyDescent="0.3">
      <c r="A329" s="177" t="s">
        <v>280</v>
      </c>
      <c r="B329" s="192">
        <v>25.62</v>
      </c>
      <c r="C329" s="283">
        <f>SUM($H$323/B329)</f>
        <v>9.2896174863387984E-2</v>
      </c>
      <c r="D329" s="284">
        <f>SUM(($H$323*J329*1095)/B329)</f>
        <v>305.1639344262295</v>
      </c>
      <c r="E329" s="180">
        <f>SUM(B329/$H$323)</f>
        <v>10.76470588235294</v>
      </c>
      <c r="F329" s="181">
        <v>210</v>
      </c>
      <c r="G329" s="182">
        <f>SUM(F329/1095)</f>
        <v>0.19178082191780821</v>
      </c>
      <c r="H329" s="183">
        <f>SUM(F329*B329)/$H$323</f>
        <v>2260.5882352941171</v>
      </c>
      <c r="I329" s="183">
        <f>SUM(B329*F329)</f>
        <v>5380.2</v>
      </c>
      <c r="J329" s="184">
        <f t="shared" si="70"/>
        <v>3</v>
      </c>
      <c r="K329" s="185">
        <f>SUM((F329*B329)/($H$323*J329))</f>
        <v>753.52941176470574</v>
      </c>
      <c r="M329" s="144">
        <f t="shared" si="71"/>
        <v>2.0644641418211114</v>
      </c>
      <c r="N329" s="294">
        <v>3</v>
      </c>
      <c r="O329" s="91">
        <f t="shared" si="72"/>
        <v>14013.81</v>
      </c>
      <c r="Q329" s="154" t="s">
        <v>280</v>
      </c>
      <c r="R329" s="296">
        <v>112</v>
      </c>
      <c r="S329" s="292">
        <f>SUM(R329*$B329)</f>
        <v>2869.44</v>
      </c>
      <c r="T329" s="15"/>
      <c r="V329" s="293">
        <f t="shared" si="73"/>
        <v>2.0136986301369864</v>
      </c>
      <c r="W329" t="str">
        <f t="shared" si="74"/>
        <v>/Week</v>
      </c>
      <c r="X329">
        <v>63</v>
      </c>
      <c r="Y329" s="292">
        <f>SUM(X329*$B329)</f>
        <v>1614.0600000000002</v>
      </c>
      <c r="Z329">
        <v>21</v>
      </c>
      <c r="AA329" s="292">
        <f>SUM(Z329*$B329)</f>
        <v>538.02</v>
      </c>
      <c r="AB329">
        <v>51</v>
      </c>
      <c r="AC329" s="292">
        <f>SUM(AB329*$B329)</f>
        <v>1306.6200000000001</v>
      </c>
      <c r="AE329" s="292"/>
    </row>
    <row r="330" spans="1:31" x14ac:dyDescent="0.25">
      <c r="F330" s="103">
        <f>SUM(F326:F329)</f>
        <v>2684</v>
      </c>
      <c r="G330" s="278">
        <f>SUM(G326:G329)</f>
        <v>2.4511415525114155</v>
      </c>
      <c r="I330" s="297">
        <f>SUM(I326:I329)</f>
        <v>47799.299999999996</v>
      </c>
      <c r="J330" s="279">
        <f>SUM(J326:J329)</f>
        <v>20</v>
      </c>
      <c r="M330" s="280">
        <f>SUM(M326:M329)</f>
        <v>18.341314608034992</v>
      </c>
      <c r="N330" s="281">
        <f>SUM(N326:N329)</f>
        <v>25</v>
      </c>
      <c r="O330" s="282">
        <f>SUM(O326:O329)</f>
        <v>116781.74999999999</v>
      </c>
      <c r="R330">
        <f>SUM(R326:R329)</f>
        <v>3425</v>
      </c>
      <c r="S330" s="298">
        <f>SUM(S326:S329)</f>
        <v>61857.61</v>
      </c>
      <c r="X330" s="256">
        <f t="shared" ref="X330:AC330" si="75">SUM(X326:X329)</f>
        <v>2371</v>
      </c>
      <c r="Y330" s="298">
        <f t="shared" si="75"/>
        <v>41356.58</v>
      </c>
      <c r="Z330" s="256">
        <f t="shared" si="75"/>
        <v>1981</v>
      </c>
      <c r="AA330" s="298">
        <f t="shared" si="75"/>
        <v>33028.61</v>
      </c>
      <c r="AB330" s="256">
        <f t="shared" si="75"/>
        <v>2510</v>
      </c>
      <c r="AC330" s="298">
        <f t="shared" si="75"/>
        <v>42779.30000000001</v>
      </c>
      <c r="AD330" s="256"/>
      <c r="AE330" s="298"/>
    </row>
    <row r="332" spans="1:31" x14ac:dyDescent="0.25">
      <c r="B332" s="15"/>
      <c r="C332" s="15"/>
      <c r="D332" s="15"/>
      <c r="E332" s="15"/>
      <c r="F332" t="s">
        <v>360</v>
      </c>
    </row>
    <row r="333" spans="1:31" x14ac:dyDescent="0.25">
      <c r="B333" s="15">
        <v>1937</v>
      </c>
      <c r="C333" s="15">
        <v>1937</v>
      </c>
      <c r="D333" s="15" t="s">
        <v>361</v>
      </c>
      <c r="E333" s="15">
        <v>1938</v>
      </c>
      <c r="F333" s="15">
        <v>1939</v>
      </c>
      <c r="G333" s="15" t="s">
        <v>362</v>
      </c>
      <c r="H333" s="15" t="s">
        <v>363</v>
      </c>
      <c r="I333" s="15" t="s">
        <v>364</v>
      </c>
      <c r="J333" s="15" t="s">
        <v>364</v>
      </c>
      <c r="K333" s="15" t="s">
        <v>364</v>
      </c>
      <c r="L333" s="15" t="s">
        <v>365</v>
      </c>
      <c r="M333" s="15" t="s">
        <v>365</v>
      </c>
    </row>
    <row r="334" spans="1:31" x14ac:dyDescent="0.25">
      <c r="B334" s="199" t="s">
        <v>366</v>
      </c>
      <c r="C334" s="15" t="s">
        <v>367</v>
      </c>
      <c r="D334" s="15" t="s">
        <v>368</v>
      </c>
      <c r="E334" s="15" t="s">
        <v>369</v>
      </c>
      <c r="F334" s="199" t="s">
        <v>370</v>
      </c>
      <c r="G334" s="199" t="s">
        <v>371</v>
      </c>
      <c r="H334" s="15" t="s">
        <v>372</v>
      </c>
      <c r="I334" s="15" t="s">
        <v>373</v>
      </c>
      <c r="J334" s="15" t="s">
        <v>374</v>
      </c>
      <c r="K334" s="15" t="s">
        <v>375</v>
      </c>
      <c r="L334" s="15" t="s">
        <v>376</v>
      </c>
      <c r="M334" s="15" t="s">
        <v>377</v>
      </c>
    </row>
    <row r="335" spans="1:31" x14ac:dyDescent="0.25">
      <c r="A335" t="s">
        <v>281</v>
      </c>
      <c r="B335" s="15">
        <v>10</v>
      </c>
      <c r="C335" s="15">
        <v>10</v>
      </c>
      <c r="D335" s="15">
        <v>15</v>
      </c>
      <c r="E335" s="15">
        <v>25</v>
      </c>
      <c r="F335" s="15">
        <v>96</v>
      </c>
      <c r="G335" s="15">
        <v>450</v>
      </c>
      <c r="H335" s="15">
        <v>594</v>
      </c>
      <c r="I335" s="15">
        <v>286</v>
      </c>
      <c r="J335" s="15">
        <v>1521</v>
      </c>
      <c r="K335" s="15">
        <v>1470</v>
      </c>
      <c r="L335" s="15">
        <v>517</v>
      </c>
      <c r="M335" s="15">
        <v>614</v>
      </c>
    </row>
    <row r="336" spans="1:31" x14ac:dyDescent="0.25">
      <c r="B336" s="15">
        <v>1937</v>
      </c>
      <c r="C336" s="15">
        <v>1938</v>
      </c>
      <c r="D336" s="15" t="s">
        <v>378</v>
      </c>
      <c r="E336" s="15" t="s">
        <v>363</v>
      </c>
      <c r="F336" s="15" t="s">
        <v>364</v>
      </c>
      <c r="G336" s="15" t="s">
        <v>365</v>
      </c>
      <c r="H336" s="15" t="s">
        <v>379</v>
      </c>
      <c r="I336" s="15" t="s">
        <v>380</v>
      </c>
      <c r="J336" s="15"/>
      <c r="K336" s="15"/>
      <c r="L336" s="15"/>
      <c r="M336" s="15"/>
    </row>
    <row r="337" spans="1:31" x14ac:dyDescent="0.25">
      <c r="B337" s="199" t="s">
        <v>366</v>
      </c>
      <c r="C337" s="15" t="s">
        <v>367</v>
      </c>
      <c r="D337" s="15" t="s">
        <v>368</v>
      </c>
      <c r="E337" s="299" t="s">
        <v>381</v>
      </c>
      <c r="F337" s="199" t="s">
        <v>371</v>
      </c>
      <c r="G337" s="299" t="s">
        <v>382</v>
      </c>
      <c r="H337" s="199" t="s">
        <v>373</v>
      </c>
      <c r="I337" s="199" t="s">
        <v>374</v>
      </c>
      <c r="J337" s="15"/>
      <c r="K337" s="15"/>
      <c r="L337" s="15"/>
    </row>
    <row r="338" spans="1:31" x14ac:dyDescent="0.25">
      <c r="A338" t="s">
        <v>280</v>
      </c>
      <c r="B338" s="15">
        <v>35</v>
      </c>
      <c r="C338" s="15">
        <v>42</v>
      </c>
      <c r="D338" s="15">
        <v>140</v>
      </c>
      <c r="E338" s="15">
        <v>454</v>
      </c>
      <c r="F338" s="15">
        <v>471</v>
      </c>
      <c r="G338" s="15">
        <v>1927</v>
      </c>
      <c r="H338" s="15">
        <v>2324</v>
      </c>
      <c r="I338" s="15">
        <v>3160</v>
      </c>
      <c r="J338" s="15"/>
      <c r="K338" s="15"/>
      <c r="L338" s="15"/>
    </row>
    <row r="339" spans="1:31" ht="15.75" thickBot="1" x14ac:dyDescent="0.3"/>
    <row r="340" spans="1:31" ht="15.75" thickBot="1" x14ac:dyDescent="0.3">
      <c r="A340" s="125" t="s">
        <v>356</v>
      </c>
      <c r="B340" s="129" t="s">
        <v>96</v>
      </c>
      <c r="C340" s="129" t="s">
        <v>97</v>
      </c>
      <c r="D340" s="129" t="s">
        <v>357</v>
      </c>
      <c r="E340" s="91" t="s">
        <v>347</v>
      </c>
      <c r="F340" s="99" t="s">
        <v>358</v>
      </c>
      <c r="G340" s="99" t="s">
        <v>99</v>
      </c>
      <c r="H340" s="129" t="s">
        <v>63</v>
      </c>
      <c r="I340" s="130" t="s">
        <v>100</v>
      </c>
      <c r="J340" s="100" t="s">
        <v>64</v>
      </c>
      <c r="K340" s="91" t="s">
        <v>66</v>
      </c>
      <c r="M340" s="132" t="s">
        <v>64</v>
      </c>
      <c r="N340" s="30" t="s">
        <v>348</v>
      </c>
      <c r="O340" s="30" t="s">
        <v>349</v>
      </c>
      <c r="Q340" s="133" t="s">
        <v>359</v>
      </c>
      <c r="R340" s="288">
        <v>14246</v>
      </c>
    </row>
    <row r="341" spans="1:31" x14ac:dyDescent="0.25">
      <c r="A341" s="133" t="s">
        <v>383</v>
      </c>
      <c r="B341" s="134">
        <v>20.399999999999999</v>
      </c>
      <c r="C341" s="220">
        <f t="shared" ref="C341:C349" si="76">SUM($H$323/B341)</f>
        <v>0.1166666666666667</v>
      </c>
      <c r="D341" s="221">
        <f t="shared" ref="D341:D349" si="77">SUM(($H$323*J341*1095)/B341)</f>
        <v>127.75000000000003</v>
      </c>
      <c r="E341" s="137">
        <f t="shared" ref="E341:E349" si="78">SUM(B341/$H$323)</f>
        <v>8.5714285714285694</v>
      </c>
      <c r="F341" s="138">
        <v>118</v>
      </c>
      <c r="G341" s="139">
        <f t="shared" ref="G341:G349" si="79">SUM(F341/1095)</f>
        <v>0.10776255707762557</v>
      </c>
      <c r="H341" s="140">
        <f t="shared" ref="H341:H349" si="80">SUM(F341*B341)/$H$323</f>
        <v>1011.4285714285712</v>
      </c>
      <c r="I341" s="140">
        <f>SUM(B341*F341)</f>
        <v>2407.1999999999998</v>
      </c>
      <c r="J341" s="141">
        <f>ROUNDUP(((F341*B341)/($H$323*1095)),0)</f>
        <v>1</v>
      </c>
      <c r="K341" s="142">
        <f t="shared" ref="K341:K349" si="81">SUM((F341*B341)/($H$323*J341))</f>
        <v>1011.4285714285712</v>
      </c>
      <c r="L341" s="143"/>
      <c r="M341" s="144">
        <f>SUM(J341*(K341/1095))</f>
        <v>0.92367906066536187</v>
      </c>
      <c r="N341" s="276">
        <v>4</v>
      </c>
      <c r="O341" s="91">
        <f>SUM(N341*$H$294*1095)</f>
        <v>18685.080000000002</v>
      </c>
      <c r="P341" s="60" t="s">
        <v>24</v>
      </c>
      <c r="Q341" s="145" t="s">
        <v>384</v>
      </c>
      <c r="R341" s="295"/>
      <c r="S341">
        <f>SUM(R341*B341)</f>
        <v>0</v>
      </c>
    </row>
    <row r="342" spans="1:31" ht="15.75" thickBot="1" x14ac:dyDescent="0.3">
      <c r="A342" s="154" t="s">
        <v>168</v>
      </c>
      <c r="B342" s="155">
        <v>25.16</v>
      </c>
      <c r="C342" s="228">
        <f t="shared" si="76"/>
        <v>9.4594594594594614E-2</v>
      </c>
      <c r="D342" s="229">
        <f t="shared" si="77"/>
        <v>1139.3918918918919</v>
      </c>
      <c r="E342" s="157">
        <f t="shared" si="78"/>
        <v>10.571428571428569</v>
      </c>
      <c r="F342" s="158">
        <v>1075</v>
      </c>
      <c r="G342" s="159">
        <f t="shared" si="79"/>
        <v>0.9817351598173516</v>
      </c>
      <c r="H342" s="160">
        <f t="shared" si="80"/>
        <v>11364.285714285712</v>
      </c>
      <c r="I342" s="160">
        <f>SUM(B342*F342)</f>
        <v>27047</v>
      </c>
      <c r="J342" s="161">
        <f>ROUNDUP(((F342*B342)/($H$323*1095)),0)</f>
        <v>11</v>
      </c>
      <c r="K342" s="162">
        <f t="shared" si="81"/>
        <v>1033.1168831168829</v>
      </c>
      <c r="L342" s="143"/>
      <c r="M342" s="144">
        <f>SUM(J342*(K342/1095))</f>
        <v>10.378343118069143</v>
      </c>
      <c r="N342" s="276"/>
      <c r="O342" s="91">
        <f>SUM(N342*$H$294*1095)</f>
        <v>0</v>
      </c>
      <c r="P342" s="60"/>
      <c r="Q342" s="145" t="s">
        <v>168</v>
      </c>
      <c r="R342" s="295">
        <v>1575</v>
      </c>
      <c r="S342">
        <f>SUM(R342*B342)</f>
        <v>39627</v>
      </c>
      <c r="U342">
        <v>114</v>
      </c>
      <c r="V342" s="293">
        <f>IF((F342-U342)/730&lt;1,IF((F342-U342)/(730/7)&lt;1,(F342-U342)/(730/30),(F342-U342)/(730/7)),(F342-U342)/730)</f>
        <v>1.3164383561643835</v>
      </c>
      <c r="W342" t="str">
        <f t="shared" ref="W342:W348" si="82">IF((F342-U342)/730&lt;1,IF((F342-U342)/(730/7)&lt;1,"/Mouth","/Week"),"/Day")</f>
        <v>/Day</v>
      </c>
      <c r="X342">
        <v>858</v>
      </c>
      <c r="Y342" s="292">
        <f>SUM(X342*$B342)</f>
        <v>21587.279999999999</v>
      </c>
      <c r="Z342">
        <v>540</v>
      </c>
      <c r="AA342" s="292">
        <f>SUM(Z342*$B342)</f>
        <v>13586.4</v>
      </c>
      <c r="AB342">
        <v>793</v>
      </c>
      <c r="AC342" s="292">
        <f>SUM(AB342*$B342)</f>
        <v>19951.88</v>
      </c>
      <c r="AE342" s="292"/>
    </row>
    <row r="343" spans="1:31" ht="15.75" thickBot="1" x14ac:dyDescent="0.3">
      <c r="A343" s="177" t="s">
        <v>178</v>
      </c>
      <c r="B343" s="192">
        <v>25.9</v>
      </c>
      <c r="C343" s="283">
        <f t="shared" si="76"/>
        <v>9.1891891891891911E-2</v>
      </c>
      <c r="D343" s="284">
        <f t="shared" ref="D343" si="83">SUM(($H$323*J343*1095)/B343)</f>
        <v>100.62162162162164</v>
      </c>
      <c r="E343" s="180">
        <f t="shared" si="78"/>
        <v>10.882352941176469</v>
      </c>
      <c r="F343" s="181">
        <v>88</v>
      </c>
      <c r="G343" s="182">
        <f t="shared" si="79"/>
        <v>8.0365296803652966E-2</v>
      </c>
      <c r="H343" s="183">
        <f t="shared" si="80"/>
        <v>957.64705882352916</v>
      </c>
      <c r="I343" s="183">
        <f t="shared" ref="I343" si="84">SUM(B343*F343)</f>
        <v>2279.1999999999998</v>
      </c>
      <c r="J343" s="184">
        <f t="shared" ref="J343:J349" si="85">ROUNDUP(((F343*B343)/($H$323*1095)),0)</f>
        <v>1</v>
      </c>
      <c r="K343" s="185">
        <f t="shared" si="81"/>
        <v>957.64705882352916</v>
      </c>
      <c r="M343" s="144">
        <f t="shared" ref="M343" si="86">SUM(J343*(K343/1095))</f>
        <v>0.87456352403975268</v>
      </c>
      <c r="N343" s="276">
        <v>2</v>
      </c>
      <c r="O343" s="91">
        <f t="shared" ref="O343" si="87">SUM(N343*$H$294*1095)</f>
        <v>9342.5400000000009</v>
      </c>
      <c r="P343" s="60"/>
      <c r="Q343" s="145" t="s">
        <v>178</v>
      </c>
      <c r="R343" s="295">
        <v>0</v>
      </c>
      <c r="V343" s="293">
        <f>IF((F343-U343)/730&lt;1,IF((F343-U343)/(730/7)&lt;1,(F343-U343)/(730/30),(F343-U343)/(730/7)),(F343-U343)/730)</f>
        <v>3.6164383561643838</v>
      </c>
      <c r="W343" t="str">
        <f t="shared" si="82"/>
        <v>/Mouth</v>
      </c>
      <c r="Z343">
        <v>0</v>
      </c>
    </row>
    <row r="344" spans="1:31" ht="15.75" thickBot="1" x14ac:dyDescent="0.3">
      <c r="A344" s="177" t="s">
        <v>187</v>
      </c>
      <c r="B344" s="192">
        <v>25.9</v>
      </c>
      <c r="C344" s="283">
        <f t="shared" si="76"/>
        <v>9.1891891891891911E-2</v>
      </c>
      <c r="D344" s="284">
        <f t="shared" si="77"/>
        <v>402.48648648648657</v>
      </c>
      <c r="E344" s="180">
        <f t="shared" si="78"/>
        <v>10.882352941176469</v>
      </c>
      <c r="F344" s="181">
        <v>350</v>
      </c>
      <c r="G344" s="182">
        <f t="shared" si="79"/>
        <v>0.31963470319634701</v>
      </c>
      <c r="H344" s="183">
        <f t="shared" si="80"/>
        <v>3808.823529411764</v>
      </c>
      <c r="I344" s="183">
        <f t="shared" ref="I344:I349" si="88">SUM(B344*F344)</f>
        <v>9065</v>
      </c>
      <c r="J344" s="184">
        <f t="shared" si="85"/>
        <v>4</v>
      </c>
      <c r="K344" s="185">
        <f t="shared" si="81"/>
        <v>952.20588235294099</v>
      </c>
      <c r="M344" s="144">
        <f t="shared" ref="M344:M345" si="89">SUM(J344*(K344/1095))</f>
        <v>3.4783776524308347</v>
      </c>
      <c r="N344" s="276">
        <v>2</v>
      </c>
      <c r="O344" s="91">
        <f t="shared" ref="O344:O349" si="90">SUM(N344*$H$294*1095)</f>
        <v>9342.5400000000009</v>
      </c>
      <c r="P344" s="60"/>
      <c r="Q344" s="145" t="s">
        <v>187</v>
      </c>
      <c r="R344" s="295">
        <v>494</v>
      </c>
      <c r="S344">
        <f t="shared" ref="S344:S349" si="91">SUM(R344*B344)</f>
        <v>12794.599999999999</v>
      </c>
      <c r="U344">
        <v>4</v>
      </c>
      <c r="V344" s="293">
        <f t="shared" ref="V344:V348" si="92">IF((F344-U344)/730&lt;1,IF((F344-U344)/(730/7)&lt;1,(F344-U344)/(730/30),(F344-U344)/(730/7)),(F344-U344)/730)</f>
        <v>3.3178082191780822</v>
      </c>
      <c r="W344" t="str">
        <f t="shared" si="82"/>
        <v>/Week</v>
      </c>
      <c r="X344">
        <v>325</v>
      </c>
      <c r="Y344" s="292">
        <f t="shared" ref="Y344:AA347" si="93">SUM(X344*$B344)</f>
        <v>8417.5</v>
      </c>
      <c r="Z344">
        <v>207</v>
      </c>
      <c r="AA344" s="292">
        <f t="shared" si="93"/>
        <v>5361.2999999999993</v>
      </c>
      <c r="AB344">
        <v>320</v>
      </c>
      <c r="AC344" s="292">
        <f t="shared" ref="AC344:AC345" si="94">SUM(AB344*$B344)</f>
        <v>8288</v>
      </c>
      <c r="AE344" s="292"/>
    </row>
    <row r="345" spans="1:31" ht="15.75" thickBot="1" x14ac:dyDescent="0.3">
      <c r="A345" s="177" t="s">
        <v>350</v>
      </c>
      <c r="B345" s="237">
        <v>46.3</v>
      </c>
      <c r="C345" s="283">
        <f t="shared" si="76"/>
        <v>5.1403887688984892E-2</v>
      </c>
      <c r="D345" s="284">
        <f t="shared" si="77"/>
        <v>788.02159827213848</v>
      </c>
      <c r="E345" s="180">
        <f t="shared" si="78"/>
        <v>19.453781512605037</v>
      </c>
      <c r="F345" s="181">
        <v>777</v>
      </c>
      <c r="G345" s="182">
        <f t="shared" si="79"/>
        <v>0.70958904109589038</v>
      </c>
      <c r="H345" s="183">
        <f t="shared" si="80"/>
        <v>15115.588235294115</v>
      </c>
      <c r="I345" s="183">
        <f t="shared" si="88"/>
        <v>35975.1</v>
      </c>
      <c r="J345" s="184">
        <f t="shared" si="85"/>
        <v>14</v>
      </c>
      <c r="K345" s="185">
        <f t="shared" si="81"/>
        <v>1079.6848739495795</v>
      </c>
      <c r="L345" s="143"/>
      <c r="M345" s="144">
        <f t="shared" si="89"/>
        <v>13.804190169218368</v>
      </c>
      <c r="N345" s="294"/>
      <c r="O345" s="91">
        <f t="shared" si="90"/>
        <v>0</v>
      </c>
      <c r="Q345" s="145" t="s">
        <v>350</v>
      </c>
      <c r="R345" s="295">
        <v>344</v>
      </c>
      <c r="S345">
        <f t="shared" si="91"/>
        <v>15927.199999999999</v>
      </c>
      <c r="V345" s="293">
        <f t="shared" si="92"/>
        <v>1.0643835616438355</v>
      </c>
      <c r="W345" t="str">
        <f t="shared" si="82"/>
        <v>/Day</v>
      </c>
      <c r="X345">
        <v>193</v>
      </c>
      <c r="Y345" s="292">
        <f t="shared" si="93"/>
        <v>8935.9</v>
      </c>
      <c r="Z345">
        <v>94</v>
      </c>
      <c r="AA345" s="292">
        <f t="shared" si="93"/>
        <v>4352.2</v>
      </c>
      <c r="AB345">
        <v>192</v>
      </c>
      <c r="AC345" s="292">
        <f t="shared" si="94"/>
        <v>8889.5999999999985</v>
      </c>
      <c r="AE345" s="292"/>
    </row>
    <row r="346" spans="1:31" ht="15.75" thickBot="1" x14ac:dyDescent="0.3">
      <c r="A346" s="177" t="s">
        <v>189</v>
      </c>
      <c r="B346" s="237">
        <v>48.6</v>
      </c>
      <c r="C346" s="283">
        <f t="shared" si="76"/>
        <v>4.8971193415637868E-2</v>
      </c>
      <c r="D346" s="284">
        <f t="shared" ref="D346:D347" si="95">SUM(($H$323*J346*1095)/B346)</f>
        <v>750.72839506172852</v>
      </c>
      <c r="E346" s="180">
        <f t="shared" si="78"/>
        <v>20.420168067226889</v>
      </c>
      <c r="F346" s="181">
        <v>724</v>
      </c>
      <c r="G346" s="182">
        <f t="shared" si="79"/>
        <v>0.66118721461187213</v>
      </c>
      <c r="H346" s="183">
        <f t="shared" si="80"/>
        <v>14784.201680672268</v>
      </c>
      <c r="I346" s="183">
        <f t="shared" ref="I346:I348" si="96">SUM(B346*F346)</f>
        <v>35186.400000000001</v>
      </c>
      <c r="J346" s="184">
        <f t="shared" si="85"/>
        <v>14</v>
      </c>
      <c r="K346" s="185">
        <f t="shared" si="81"/>
        <v>1056.0144057623047</v>
      </c>
      <c r="L346" s="143"/>
      <c r="M346" s="144"/>
      <c r="N346" s="294"/>
      <c r="O346" s="91"/>
      <c r="Q346" s="145" t="s">
        <v>189</v>
      </c>
      <c r="R346" s="295">
        <v>537</v>
      </c>
      <c r="S346">
        <f t="shared" si="91"/>
        <v>26098.2</v>
      </c>
      <c r="U346">
        <v>49</v>
      </c>
      <c r="V346" s="293">
        <f t="shared" si="92"/>
        <v>6.4726027397260273</v>
      </c>
      <c r="W346" t="str">
        <f t="shared" si="82"/>
        <v>/Week</v>
      </c>
      <c r="X346">
        <v>277</v>
      </c>
      <c r="Y346" s="292">
        <f t="shared" si="93"/>
        <v>13462.2</v>
      </c>
      <c r="Z346">
        <v>233</v>
      </c>
      <c r="AA346" s="292">
        <f t="shared" si="93"/>
        <v>11323.800000000001</v>
      </c>
      <c r="AB346">
        <v>338</v>
      </c>
      <c r="AC346" s="292">
        <f t="shared" ref="AC346" si="97">SUM(AB346*$B346)</f>
        <v>16426.8</v>
      </c>
      <c r="AE346" s="292"/>
    </row>
    <row r="347" spans="1:31" ht="15.75" thickBot="1" x14ac:dyDescent="0.3">
      <c r="A347" s="177" t="s">
        <v>385</v>
      </c>
      <c r="B347" s="237">
        <v>33.299999999999997</v>
      </c>
      <c r="C347" s="283">
        <f t="shared" si="76"/>
        <v>7.1471471471471482E-2</v>
      </c>
      <c r="D347" s="284">
        <f t="shared" si="95"/>
        <v>156.52252252252256</v>
      </c>
      <c r="E347" s="180">
        <f t="shared" si="78"/>
        <v>13.991596638655459</v>
      </c>
      <c r="F347" s="181">
        <v>142</v>
      </c>
      <c r="G347" s="182">
        <f t="shared" si="79"/>
        <v>0.12968036529680366</v>
      </c>
      <c r="H347" s="183">
        <f t="shared" si="80"/>
        <v>1986.8067226890751</v>
      </c>
      <c r="I347" s="183">
        <f t="shared" si="96"/>
        <v>4728.5999999999995</v>
      </c>
      <c r="J347" s="184">
        <f t="shared" si="85"/>
        <v>2</v>
      </c>
      <c r="K347" s="185">
        <f t="shared" si="81"/>
        <v>993.40336134453753</v>
      </c>
      <c r="L347" s="143"/>
      <c r="M347" s="144">
        <f t="shared" ref="M347:M348" si="98">SUM(J347*(K347/1095))</f>
        <v>1.8144353631863699</v>
      </c>
      <c r="N347" s="294"/>
      <c r="O347" s="91">
        <f t="shared" ref="O347:O348" si="99">SUM(N347*$H$294*1095)</f>
        <v>0</v>
      </c>
      <c r="Q347" s="154" t="s">
        <v>386</v>
      </c>
      <c r="R347" s="296">
        <v>115</v>
      </c>
      <c r="S347">
        <f t="shared" si="91"/>
        <v>3829.4999999999995</v>
      </c>
      <c r="V347" s="293">
        <f t="shared" si="92"/>
        <v>1.3616438356164382</v>
      </c>
      <c r="W347" t="str">
        <f t="shared" si="82"/>
        <v>/Week</v>
      </c>
      <c r="X347">
        <v>48</v>
      </c>
      <c r="Y347" s="292">
        <f t="shared" si="93"/>
        <v>1598.3999999999999</v>
      </c>
      <c r="Z347">
        <v>70</v>
      </c>
      <c r="AA347" s="292">
        <f t="shared" si="93"/>
        <v>2331</v>
      </c>
      <c r="AB347">
        <v>48</v>
      </c>
      <c r="AC347" s="292">
        <f t="shared" ref="AC347" si="100">SUM(AB347*$B347)</f>
        <v>1598.3999999999999</v>
      </c>
      <c r="AE347" s="292"/>
    </row>
    <row r="348" spans="1:31" ht="15.75" thickBot="1" x14ac:dyDescent="0.3">
      <c r="A348" s="177" t="s">
        <v>387</v>
      </c>
      <c r="B348" s="237">
        <v>30.8</v>
      </c>
      <c r="C348" s="283">
        <f t="shared" si="76"/>
        <v>7.7272727272727285E-2</v>
      </c>
      <c r="D348" s="284">
        <f t="shared" ref="D348" si="101">SUM(($H$323*J348*1095)/B348)</f>
        <v>84.613636363636374</v>
      </c>
      <c r="E348" s="180">
        <f t="shared" si="78"/>
        <v>12.941176470588234</v>
      </c>
      <c r="F348" s="181">
        <v>14</v>
      </c>
      <c r="G348" s="182">
        <f t="shared" si="79"/>
        <v>1.2785388127853882E-2</v>
      </c>
      <c r="H348" s="183">
        <f t="shared" si="80"/>
        <v>181.17647058823528</v>
      </c>
      <c r="I348" s="183">
        <f t="shared" si="96"/>
        <v>431.2</v>
      </c>
      <c r="J348" s="184">
        <f t="shared" si="85"/>
        <v>1</v>
      </c>
      <c r="K348" s="185">
        <f t="shared" si="81"/>
        <v>181.17647058823528</v>
      </c>
      <c r="L348" s="143"/>
      <c r="M348" s="144">
        <f t="shared" si="98"/>
        <v>0.1654579640075208</v>
      </c>
      <c r="N348" s="294"/>
      <c r="O348" s="91">
        <f t="shared" si="99"/>
        <v>0</v>
      </c>
      <c r="Q348" s="154" t="s">
        <v>388</v>
      </c>
      <c r="R348" s="296">
        <v>4</v>
      </c>
      <c r="S348">
        <f t="shared" si="91"/>
        <v>123.2</v>
      </c>
      <c r="V348" s="293">
        <f t="shared" si="92"/>
        <v>0.57534246575342474</v>
      </c>
      <c r="W348" t="str">
        <f t="shared" si="82"/>
        <v>/Mouth</v>
      </c>
    </row>
    <row r="349" spans="1:31" ht="15.75" thickBot="1" x14ac:dyDescent="0.3">
      <c r="A349" s="177" t="s">
        <v>203</v>
      </c>
      <c r="B349" s="237">
        <v>52.2</v>
      </c>
      <c r="C349" s="283">
        <f t="shared" si="76"/>
        <v>4.5593869731800768E-2</v>
      </c>
      <c r="D349" s="284">
        <f t="shared" si="77"/>
        <v>0</v>
      </c>
      <c r="E349" s="180">
        <f t="shared" si="78"/>
        <v>21.932773109243694</v>
      </c>
      <c r="F349" s="181"/>
      <c r="G349" s="182">
        <f t="shared" si="79"/>
        <v>0</v>
      </c>
      <c r="H349" s="183">
        <f t="shared" si="80"/>
        <v>0</v>
      </c>
      <c r="I349" s="183">
        <f t="shared" si="88"/>
        <v>0</v>
      </c>
      <c r="J349" s="184">
        <f t="shared" si="85"/>
        <v>0</v>
      </c>
      <c r="K349" s="185" t="e">
        <f t="shared" si="81"/>
        <v>#DIV/0!</v>
      </c>
      <c r="L349" s="143"/>
      <c r="M349" s="144" t="e">
        <f t="shared" ref="M349" si="102">SUM(J349*(K349/1095))</f>
        <v>#DIV/0!</v>
      </c>
      <c r="N349" s="294"/>
      <c r="O349" s="91">
        <f t="shared" si="90"/>
        <v>0</v>
      </c>
      <c r="Q349" s="154" t="s">
        <v>389</v>
      </c>
      <c r="R349" s="296"/>
      <c r="S349">
        <f t="shared" si="91"/>
        <v>0</v>
      </c>
    </row>
    <row r="350" spans="1:31" x14ac:dyDescent="0.25">
      <c r="F350" s="103">
        <f>SUM(F341:F349)</f>
        <v>3288</v>
      </c>
      <c r="G350" s="278">
        <f>SUM(G341:G349)</f>
        <v>3.0027397260273974</v>
      </c>
      <c r="I350" s="297">
        <f>SUM(I341:I349)</f>
        <v>117119.7</v>
      </c>
      <c r="J350" s="279">
        <f>SUM(J341:J349)</f>
        <v>48</v>
      </c>
      <c r="M350" s="280" t="e">
        <f>SUM(M341:M349)</f>
        <v>#DIV/0!</v>
      </c>
      <c r="N350" s="281">
        <f>SUM(N341:N349)</f>
        <v>8</v>
      </c>
      <c r="O350" s="282">
        <f>SUM(O341:O349)</f>
        <v>37370.160000000003</v>
      </c>
      <c r="R350">
        <f>SUM(R342:R349)</f>
        <v>3069</v>
      </c>
      <c r="S350" s="298">
        <f>SUM(S342:S349)</f>
        <v>98399.7</v>
      </c>
      <c r="X350" s="256">
        <f>SUM(X342:X349)</f>
        <v>1701</v>
      </c>
      <c r="Y350" s="298">
        <f>SUM(Y341:Y349)</f>
        <v>54001.280000000006</v>
      </c>
      <c r="Z350" s="256">
        <f>SUM(Z342:Z349)</f>
        <v>1144</v>
      </c>
      <c r="AA350" s="298">
        <f>SUM(AA341:AA349)</f>
        <v>36954.699999999997</v>
      </c>
      <c r="AB350" s="256">
        <f>SUM(AB342:AB349)</f>
        <v>1691</v>
      </c>
      <c r="AC350" s="298">
        <f>SUM(AC341:AC349)</f>
        <v>55154.68</v>
      </c>
      <c r="AD350" s="256"/>
      <c r="AE350" s="298"/>
    </row>
    <row r="351" spans="1:31" ht="17.25" x14ac:dyDescent="0.4">
      <c r="I351" s="300">
        <f>SUM(I330+I350)</f>
        <v>164919</v>
      </c>
      <c r="S351" s="301">
        <f>SUM(S330+S350)</f>
        <v>160257.31</v>
      </c>
      <c r="AE351" s="301"/>
    </row>
    <row r="352" spans="1:31" x14ac:dyDescent="0.25">
      <c r="F352" t="s">
        <v>390</v>
      </c>
    </row>
    <row r="353" spans="1:11" x14ac:dyDescent="0.25">
      <c r="B353" s="15">
        <v>1937</v>
      </c>
      <c r="C353" s="15" t="s">
        <v>361</v>
      </c>
      <c r="D353" s="15">
        <v>1938</v>
      </c>
      <c r="E353" s="15" t="s">
        <v>378</v>
      </c>
      <c r="F353" s="15" t="s">
        <v>391</v>
      </c>
      <c r="G353" s="15" t="s">
        <v>392</v>
      </c>
      <c r="H353" s="15" t="s">
        <v>393</v>
      </c>
      <c r="I353" s="15">
        <v>1945</v>
      </c>
    </row>
    <row r="354" spans="1:11" x14ac:dyDescent="0.25">
      <c r="B354" s="15" t="s">
        <v>366</v>
      </c>
      <c r="C354" s="199" t="s">
        <v>367</v>
      </c>
      <c r="D354" s="199" t="s">
        <v>368</v>
      </c>
      <c r="E354" s="199" t="s">
        <v>369</v>
      </c>
      <c r="F354" s="199" t="s">
        <v>370</v>
      </c>
      <c r="G354" s="199" t="s">
        <v>371</v>
      </c>
      <c r="H354" s="199" t="s">
        <v>372</v>
      </c>
      <c r="I354" s="199" t="s">
        <v>394</v>
      </c>
      <c r="J354" s="15"/>
      <c r="K354" s="15"/>
    </row>
    <row r="355" spans="1:11" x14ac:dyDescent="0.25">
      <c r="A355" t="s">
        <v>168</v>
      </c>
      <c r="B355" s="15">
        <v>20</v>
      </c>
      <c r="C355" s="15">
        <v>350</v>
      </c>
      <c r="D355" s="15">
        <v>58</v>
      </c>
      <c r="E355" s="15">
        <v>647</v>
      </c>
      <c r="F355" s="15">
        <v>3707</v>
      </c>
      <c r="G355" s="15">
        <v>3278</v>
      </c>
      <c r="H355" s="15">
        <v>20847</v>
      </c>
      <c r="I355" s="15">
        <v>532</v>
      </c>
      <c r="J355" s="15"/>
      <c r="K355" s="15"/>
    </row>
    <row r="356" spans="1:11" x14ac:dyDescent="0.25">
      <c r="B356" s="15"/>
      <c r="C356" s="15"/>
      <c r="D356" s="15"/>
      <c r="E356" s="15">
        <f>SUM(B355:E355)</f>
        <v>1075</v>
      </c>
      <c r="F356" s="15"/>
      <c r="G356" s="15"/>
      <c r="H356" s="15"/>
      <c r="I356" s="15"/>
      <c r="J356" s="15"/>
      <c r="K356" s="15"/>
    </row>
    <row r="357" spans="1:11" x14ac:dyDescent="0.25">
      <c r="B357" s="15"/>
      <c r="C357" s="15"/>
      <c r="D357" s="15"/>
      <c r="E357" s="15"/>
      <c r="F357" s="15"/>
      <c r="G357" s="15"/>
      <c r="H357" s="15"/>
      <c r="I357" s="15"/>
      <c r="J357" s="15"/>
      <c r="K357" s="15"/>
    </row>
    <row r="358" spans="1:11" x14ac:dyDescent="0.25">
      <c r="B358" s="15"/>
      <c r="C358" s="15"/>
      <c r="D358" s="15"/>
      <c r="E358" s="15"/>
      <c r="F358" s="15"/>
      <c r="G358" s="15"/>
      <c r="H358" s="15"/>
      <c r="I358" s="15"/>
      <c r="J358" s="15"/>
      <c r="K358" s="15"/>
    </row>
    <row r="359" spans="1:11" x14ac:dyDescent="0.25">
      <c r="A359" s="5" t="s">
        <v>395</v>
      </c>
      <c r="B359" t="s">
        <v>396</v>
      </c>
    </row>
    <row r="360" spans="1:11" x14ac:dyDescent="0.25">
      <c r="A360" s="5" t="s">
        <v>397</v>
      </c>
      <c r="B360" s="5" t="s">
        <v>398</v>
      </c>
      <c r="C360" t="s">
        <v>399</v>
      </c>
    </row>
    <row r="361" spans="1:11" x14ac:dyDescent="0.25">
      <c r="A361" s="5" t="s">
        <v>400</v>
      </c>
      <c r="B361" t="s">
        <v>396</v>
      </c>
    </row>
    <row r="362" spans="1:11" x14ac:dyDescent="0.25">
      <c r="A362" s="5" t="s">
        <v>397</v>
      </c>
      <c r="B362" s="5">
        <v>3270</v>
      </c>
    </row>
    <row r="363" spans="1:11" x14ac:dyDescent="0.25">
      <c r="A363" s="5"/>
    </row>
    <row r="364" spans="1:11" x14ac:dyDescent="0.25">
      <c r="A364" s="5"/>
    </row>
    <row r="365" spans="1:11" x14ac:dyDescent="0.25">
      <c r="A365" s="5"/>
    </row>
    <row r="366" spans="1:11" x14ac:dyDescent="0.25">
      <c r="A366" s="5" t="s">
        <v>401</v>
      </c>
      <c r="B366" s="5">
        <v>4360</v>
      </c>
    </row>
    <row r="367" spans="1:11" x14ac:dyDescent="0.25">
      <c r="A367" t="s">
        <v>402</v>
      </c>
      <c r="B367">
        <v>2001</v>
      </c>
    </row>
    <row r="368" spans="1:11" x14ac:dyDescent="0.25">
      <c r="A368" t="s">
        <v>403</v>
      </c>
      <c r="B368">
        <v>564</v>
      </c>
    </row>
    <row r="369" spans="1:11" x14ac:dyDescent="0.25">
      <c r="A369" t="s">
        <v>404</v>
      </c>
      <c r="B369">
        <v>1063</v>
      </c>
    </row>
    <row r="370" spans="1:11" x14ac:dyDescent="0.25">
      <c r="A370" t="s">
        <v>405</v>
      </c>
      <c r="B370">
        <f>SUM(B366-B367-B368-B369)</f>
        <v>732</v>
      </c>
    </row>
    <row r="372" spans="1:11" x14ac:dyDescent="0.25">
      <c r="A372" t="s">
        <v>406</v>
      </c>
      <c r="B372" s="5" t="s">
        <v>407</v>
      </c>
    </row>
    <row r="376" spans="1:11" x14ac:dyDescent="0.25">
      <c r="E376" s="91" t="s">
        <v>52</v>
      </c>
      <c r="F376" s="91" t="s">
        <v>53</v>
      </c>
      <c r="G376" s="91" t="s">
        <v>54</v>
      </c>
      <c r="H376" s="91" t="s">
        <v>33</v>
      </c>
    </row>
    <row r="377" spans="1:11" x14ac:dyDescent="0.25">
      <c r="E377" s="93">
        <v>10</v>
      </c>
      <c r="F377" s="94">
        <v>0.17</v>
      </c>
      <c r="G377" s="95">
        <v>0.4</v>
      </c>
      <c r="H377" s="96">
        <f>(E377*F377)+((E377*F377)*G377)</f>
        <v>2.3800000000000003</v>
      </c>
    </row>
    <row r="379" spans="1:11" ht="15.75" thickBot="1" x14ac:dyDescent="0.3">
      <c r="A379" s="125" t="s">
        <v>356</v>
      </c>
      <c r="B379" s="129" t="s">
        <v>96</v>
      </c>
      <c r="C379" s="129" t="s">
        <v>97</v>
      </c>
      <c r="D379" s="129" t="s">
        <v>357</v>
      </c>
      <c r="E379" s="91" t="s">
        <v>347</v>
      </c>
      <c r="F379" s="99" t="s">
        <v>358</v>
      </c>
      <c r="G379" s="99" t="s">
        <v>99</v>
      </c>
      <c r="H379" s="129" t="s">
        <v>63</v>
      </c>
      <c r="I379" s="130" t="s">
        <v>100</v>
      </c>
      <c r="J379" s="100" t="s">
        <v>64</v>
      </c>
      <c r="K379" s="91" t="s">
        <v>66</v>
      </c>
    </row>
    <row r="380" spans="1:11" ht="15.75" thickBot="1" x14ac:dyDescent="0.3">
      <c r="A380" s="177" t="s">
        <v>408</v>
      </c>
      <c r="B380" s="192">
        <v>14.27</v>
      </c>
      <c r="C380" s="283">
        <f>SUM($H$323/B380)</f>
        <v>0.16678346180798881</v>
      </c>
      <c r="D380" s="284">
        <f>SUM(($H$377*J380*1095)/B380)</f>
        <v>2739.4183601962159</v>
      </c>
      <c r="E380" s="180">
        <f>SUM(B380/$H$377)</f>
        <v>5.9957983193277302</v>
      </c>
      <c r="F380" s="181">
        <v>2596</v>
      </c>
      <c r="G380" s="182">
        <f>SUM(F380/1095)</f>
        <v>2.3707762557077627</v>
      </c>
      <c r="H380" s="183">
        <f>SUM(F380*B380)/$H$377</f>
        <v>15565.092436974786</v>
      </c>
      <c r="I380" s="183">
        <f>SUM(B380*F380)</f>
        <v>37044.92</v>
      </c>
      <c r="J380" s="184">
        <f>ROUNDUP(((F380*B380)/($H$377*1095)),0)</f>
        <v>15</v>
      </c>
      <c r="K380" s="185">
        <f>SUM((F380*B380)/($H$377*J380))</f>
        <v>1037.6728291316526</v>
      </c>
    </row>
    <row r="381" spans="1:11" ht="15.75" thickBot="1" x14ac:dyDescent="0.3">
      <c r="A381" s="177" t="s">
        <v>409</v>
      </c>
      <c r="B381" s="192">
        <v>19.29</v>
      </c>
      <c r="C381" s="283">
        <f t="shared" ref="C381:C384" si="103">SUM($H$323/B381)</f>
        <v>0.12337998963193367</v>
      </c>
      <c r="D381" s="284">
        <f t="shared" ref="D381:D384" si="104">SUM(($H$377*J381*1095)/B381)</f>
        <v>2972.2239502332818</v>
      </c>
      <c r="E381" s="180">
        <f t="shared" ref="E381:E384" si="105">SUM(B381/$H$377)</f>
        <v>8.1050420168067205</v>
      </c>
      <c r="F381" s="181">
        <v>2884</v>
      </c>
      <c r="G381" s="182">
        <f t="shared" ref="G381:G384" si="106">SUM(F381/1095)</f>
        <v>2.6337899543378995</v>
      </c>
      <c r="H381" s="183">
        <f t="shared" ref="H381:H384" si="107">SUM(F381*B381)/$H$377</f>
        <v>23374.941176470584</v>
      </c>
      <c r="I381" s="183">
        <f t="shared" ref="I381:I384" si="108">SUM(B381*F381)</f>
        <v>55632.36</v>
      </c>
      <c r="J381" s="184">
        <f t="shared" ref="J381:J384" si="109">ROUNDUP(((F381*B381)/($H$377*1095)),0)</f>
        <v>22</v>
      </c>
      <c r="K381" s="185">
        <f t="shared" ref="K381:K384" si="110">SUM((F381*B381)/($H$377*J381))</f>
        <v>1062.4973262032083</v>
      </c>
    </row>
    <row r="382" spans="1:11" ht="15.75" thickBot="1" x14ac:dyDescent="0.3">
      <c r="A382" s="177" t="s">
        <v>410</v>
      </c>
      <c r="B382" s="192">
        <v>10.1</v>
      </c>
      <c r="C382" s="283">
        <f t="shared" si="103"/>
        <v>0.23564356435643569</v>
      </c>
      <c r="D382" s="284">
        <f t="shared" si="104"/>
        <v>1548.1782178217823</v>
      </c>
      <c r="E382" s="180">
        <f t="shared" si="105"/>
        <v>4.2436974789915958</v>
      </c>
      <c r="F382" s="181">
        <v>1382</v>
      </c>
      <c r="G382" s="182">
        <f t="shared" si="106"/>
        <v>1.2621004566210046</v>
      </c>
      <c r="H382" s="183">
        <f t="shared" si="107"/>
        <v>5864.7899159663857</v>
      </c>
      <c r="I382" s="183">
        <f t="shared" si="108"/>
        <v>13958.199999999999</v>
      </c>
      <c r="J382" s="184">
        <f t="shared" si="109"/>
        <v>6</v>
      </c>
      <c r="K382" s="185">
        <f t="shared" si="110"/>
        <v>977.46498599439758</v>
      </c>
    </row>
    <row r="383" spans="1:11" ht="15.75" thickBot="1" x14ac:dyDescent="0.3">
      <c r="A383" s="177" t="s">
        <v>411</v>
      </c>
      <c r="B383" s="237">
        <v>26.18</v>
      </c>
      <c r="C383" s="283">
        <f t="shared" si="103"/>
        <v>9.0909090909090925E-2</v>
      </c>
      <c r="D383" s="284">
        <f t="shared" si="104"/>
        <v>298.63636363636363</v>
      </c>
      <c r="E383" s="180">
        <f t="shared" si="105"/>
        <v>10.999999999999998</v>
      </c>
      <c r="F383" s="181">
        <v>247</v>
      </c>
      <c r="G383" s="182">
        <f t="shared" si="106"/>
        <v>0.22557077625570776</v>
      </c>
      <c r="H383" s="183">
        <f t="shared" si="107"/>
        <v>2716.9999999999995</v>
      </c>
      <c r="I383" s="183">
        <f t="shared" si="108"/>
        <v>6466.46</v>
      </c>
      <c r="J383" s="184">
        <f t="shared" si="109"/>
        <v>3</v>
      </c>
      <c r="K383" s="185">
        <f t="shared" si="110"/>
        <v>905.66666666666663</v>
      </c>
    </row>
    <row r="384" spans="1:11" ht="15.75" thickBot="1" x14ac:dyDescent="0.3">
      <c r="A384" s="177" t="s">
        <v>412</v>
      </c>
      <c r="B384" s="192">
        <v>48.09</v>
      </c>
      <c r="C384" s="283">
        <f t="shared" si="103"/>
        <v>4.9490538573508012E-2</v>
      </c>
      <c r="D384" s="284">
        <f t="shared" si="104"/>
        <v>54.192139737991269</v>
      </c>
      <c r="E384" s="180">
        <f t="shared" si="105"/>
        <v>20.205882352941174</v>
      </c>
      <c r="F384" s="181">
        <v>36</v>
      </c>
      <c r="G384" s="182">
        <f t="shared" si="106"/>
        <v>3.287671232876712E-2</v>
      </c>
      <c r="H384" s="183">
        <f t="shared" si="107"/>
        <v>727.41176470588232</v>
      </c>
      <c r="I384" s="183">
        <f t="shared" si="108"/>
        <v>1731.2400000000002</v>
      </c>
      <c r="J384" s="184">
        <f t="shared" si="109"/>
        <v>1</v>
      </c>
      <c r="K384" s="185">
        <f t="shared" si="110"/>
        <v>727.41176470588232</v>
      </c>
    </row>
    <row r="385" spans="1:15" x14ac:dyDescent="0.25">
      <c r="F385" s="103">
        <f>SUM(F380:F384)</f>
        <v>7145</v>
      </c>
      <c r="G385" s="278">
        <f>SUM(G380:G384)</f>
        <v>6.525114155251142</v>
      </c>
      <c r="I385" s="297">
        <f>SUM(I380:I384)</f>
        <v>114833.18000000001</v>
      </c>
      <c r="J385" s="279">
        <f>SUM(J380:J384)</f>
        <v>47</v>
      </c>
    </row>
    <row r="386" spans="1:15" x14ac:dyDescent="0.25">
      <c r="A386" s="197" t="s">
        <v>413</v>
      </c>
      <c r="F386" t="s">
        <v>414</v>
      </c>
      <c r="H386" t="s">
        <v>415</v>
      </c>
      <c r="I386" t="s">
        <v>416</v>
      </c>
      <c r="J386" t="s">
        <v>417</v>
      </c>
    </row>
    <row r="387" spans="1:15" x14ac:dyDescent="0.25">
      <c r="A387" t="s">
        <v>418</v>
      </c>
      <c r="F387">
        <v>190</v>
      </c>
      <c r="J387">
        <v>25</v>
      </c>
      <c r="O387" s="302">
        <f>SUM(F387-I387)</f>
        <v>190</v>
      </c>
    </row>
    <row r="388" spans="1:15" x14ac:dyDescent="0.25">
      <c r="A388" t="s">
        <v>419</v>
      </c>
      <c r="F388">
        <v>427</v>
      </c>
      <c r="J388">
        <v>65</v>
      </c>
      <c r="O388" s="302">
        <f>SUM(F388-I388)</f>
        <v>427</v>
      </c>
    </row>
    <row r="389" spans="1:15" x14ac:dyDescent="0.25">
      <c r="A389" t="s">
        <v>420</v>
      </c>
      <c r="F389">
        <v>10</v>
      </c>
      <c r="H389">
        <f>SUM(I389:J389)</f>
        <v>35</v>
      </c>
      <c r="J389">
        <v>35</v>
      </c>
      <c r="O389" s="302">
        <f>SUM(F389-I389)</f>
        <v>10</v>
      </c>
    </row>
    <row r="390" spans="1:15" x14ac:dyDescent="0.25">
      <c r="A390" t="s">
        <v>421</v>
      </c>
      <c r="F390">
        <v>1251</v>
      </c>
      <c r="J390">
        <v>250</v>
      </c>
      <c r="O390" s="302">
        <f>SUM(F390-I390)</f>
        <v>1251</v>
      </c>
    </row>
    <row r="391" spans="1:15" x14ac:dyDescent="0.25">
      <c r="A391" t="s">
        <v>422</v>
      </c>
      <c r="F391">
        <v>422</v>
      </c>
      <c r="H391">
        <f t="shared" ref="H391:H396" si="111">SUM(I391:J391)</f>
        <v>154</v>
      </c>
      <c r="J391">
        <f>SUM(K391:L391)</f>
        <v>154</v>
      </c>
      <c r="L391">
        <v>154</v>
      </c>
      <c r="O391" s="302">
        <f t="shared" ref="O391:O399" si="112">SUM(F391-I391)</f>
        <v>422</v>
      </c>
    </row>
    <row r="392" spans="1:15" x14ac:dyDescent="0.25">
      <c r="A392" t="s">
        <v>409</v>
      </c>
      <c r="F392">
        <v>500</v>
      </c>
      <c r="H392">
        <f t="shared" si="111"/>
        <v>90</v>
      </c>
      <c r="J392">
        <v>90</v>
      </c>
      <c r="O392" s="302">
        <f t="shared" si="112"/>
        <v>500</v>
      </c>
    </row>
    <row r="393" spans="1:15" x14ac:dyDescent="0.25">
      <c r="A393" t="s">
        <v>423</v>
      </c>
      <c r="F393">
        <v>1051</v>
      </c>
      <c r="H393">
        <f t="shared" si="111"/>
        <v>1301</v>
      </c>
      <c r="I393">
        <v>844</v>
      </c>
      <c r="J393">
        <v>457</v>
      </c>
      <c r="O393" s="302">
        <f t="shared" si="112"/>
        <v>207</v>
      </c>
    </row>
    <row r="394" spans="1:15" x14ac:dyDescent="0.25">
      <c r="A394" t="s">
        <v>424</v>
      </c>
      <c r="F394">
        <v>3615</v>
      </c>
      <c r="H394">
        <f t="shared" si="111"/>
        <v>3531</v>
      </c>
      <c r="I394">
        <v>1931</v>
      </c>
      <c r="J394">
        <v>1600</v>
      </c>
      <c r="O394" s="302">
        <f t="shared" si="112"/>
        <v>1684</v>
      </c>
    </row>
    <row r="395" spans="1:15" x14ac:dyDescent="0.25">
      <c r="A395" t="s">
        <v>425</v>
      </c>
      <c r="F395">
        <v>3328</v>
      </c>
      <c r="H395">
        <f t="shared" si="111"/>
        <v>2434</v>
      </c>
      <c r="I395">
        <v>2213</v>
      </c>
      <c r="J395">
        <v>221</v>
      </c>
      <c r="O395" s="302">
        <f t="shared" si="112"/>
        <v>1115</v>
      </c>
    </row>
    <row r="396" spans="1:15" x14ac:dyDescent="0.25">
      <c r="A396" t="s">
        <v>410</v>
      </c>
      <c r="F396">
        <v>2627</v>
      </c>
      <c r="H396">
        <f t="shared" si="111"/>
        <v>2200</v>
      </c>
      <c r="I396">
        <v>1248</v>
      </c>
      <c r="J396">
        <v>952</v>
      </c>
      <c r="O396" s="302">
        <f t="shared" si="112"/>
        <v>1379</v>
      </c>
    </row>
    <row r="397" spans="1:15" x14ac:dyDescent="0.25">
      <c r="A397" s="7" t="s">
        <v>411</v>
      </c>
      <c r="F397">
        <v>124</v>
      </c>
      <c r="O397" s="302">
        <f t="shared" si="112"/>
        <v>124</v>
      </c>
    </row>
    <row r="398" spans="1:15" x14ac:dyDescent="0.25">
      <c r="A398" t="s">
        <v>412</v>
      </c>
      <c r="F398">
        <v>17</v>
      </c>
      <c r="O398" s="302">
        <f t="shared" si="112"/>
        <v>17</v>
      </c>
    </row>
    <row r="399" spans="1:15" x14ac:dyDescent="0.25">
      <c r="A399" t="s">
        <v>426</v>
      </c>
      <c r="F399">
        <v>934</v>
      </c>
      <c r="H399" s="7">
        <f>SUM(I399:J399)</f>
        <v>480</v>
      </c>
      <c r="I399" s="7"/>
      <c r="J399" s="7">
        <v>480</v>
      </c>
      <c r="O399" s="302">
        <f t="shared" si="112"/>
        <v>934</v>
      </c>
    </row>
    <row r="400" spans="1:15" x14ac:dyDescent="0.25">
      <c r="F400" s="60">
        <f>SUM(F387:F399)</f>
        <v>14496</v>
      </c>
      <c r="G400" s="60"/>
      <c r="H400" s="60">
        <f>SUM(H387:H399)</f>
        <v>10225</v>
      </c>
    </row>
    <row r="401" spans="1:17" x14ac:dyDescent="0.25">
      <c r="I401" s="303"/>
      <c r="J401" s="303"/>
      <c r="K401" s="303"/>
    </row>
    <row r="402" spans="1:17" x14ac:dyDescent="0.25">
      <c r="I402" s="303"/>
      <c r="J402" s="303"/>
      <c r="K402" s="303"/>
    </row>
    <row r="403" spans="1:17" x14ac:dyDescent="0.25">
      <c r="G403" s="304"/>
      <c r="H403" s="304"/>
      <c r="I403" s="304"/>
      <c r="J403" s="304"/>
      <c r="K403" s="304"/>
      <c r="L403" s="304"/>
    </row>
    <row r="404" spans="1:17" x14ac:dyDescent="0.25">
      <c r="A404" s="7" t="s">
        <v>427</v>
      </c>
      <c r="B404" s="7"/>
      <c r="C404" s="7"/>
      <c r="D404" s="7"/>
      <c r="E404" s="7"/>
      <c r="F404" s="7">
        <v>400</v>
      </c>
      <c r="G404" s="7"/>
      <c r="H404" s="305">
        <f>SUM(I404:J404)</f>
        <v>752</v>
      </c>
      <c r="I404" s="305">
        <v>576</v>
      </c>
      <c r="J404" s="305">
        <v>176</v>
      </c>
      <c r="K404" s="304"/>
      <c r="L404" t="s">
        <v>428</v>
      </c>
      <c r="O404" s="306">
        <f>SUM(F404-H404)</f>
        <v>-352</v>
      </c>
      <c r="Q404" t="s">
        <v>429</v>
      </c>
    </row>
    <row r="405" spans="1:17" x14ac:dyDescent="0.25">
      <c r="A405" s="307" t="s">
        <v>430</v>
      </c>
      <c r="B405" s="307" t="s">
        <v>431</v>
      </c>
      <c r="C405" s="307"/>
      <c r="D405" s="307"/>
      <c r="E405" s="307"/>
      <c r="F405" s="307">
        <v>0</v>
      </c>
      <c r="G405" s="307"/>
      <c r="H405" s="308">
        <f>SUM(I405:J405)</f>
        <v>60</v>
      </c>
      <c r="I405" s="307">
        <v>60</v>
      </c>
      <c r="J405" s="309"/>
      <c r="K405" s="310"/>
      <c r="L405" s="310"/>
      <c r="M405" s="310"/>
      <c r="N405" s="310"/>
      <c r="O405" s="311">
        <f t="shared" ref="O405:O421" si="113">SUM(F405-I405)</f>
        <v>-60</v>
      </c>
      <c r="P405" s="310"/>
      <c r="Q405" t="s">
        <v>432</v>
      </c>
    </row>
    <row r="406" spans="1:17" x14ac:dyDescent="0.25">
      <c r="A406" s="7" t="s">
        <v>433</v>
      </c>
      <c r="B406" s="7"/>
      <c r="C406" s="7"/>
      <c r="D406" s="7"/>
      <c r="E406" s="7"/>
      <c r="F406" s="7">
        <v>382</v>
      </c>
      <c r="G406" s="7"/>
      <c r="H406" s="305">
        <f t="shared" ref="H406:H423" si="114">SUM(I406:J406)</f>
        <v>396</v>
      </c>
      <c r="I406" s="7">
        <v>384</v>
      </c>
      <c r="J406" s="7">
        <v>12</v>
      </c>
      <c r="O406" s="306">
        <f>SUM(F406-H406)</f>
        <v>-14</v>
      </c>
      <c r="Q406" t="s">
        <v>434</v>
      </c>
    </row>
    <row r="407" spans="1:17" x14ac:dyDescent="0.25">
      <c r="A407" s="307" t="s">
        <v>435</v>
      </c>
      <c r="B407" s="307"/>
      <c r="C407" s="307"/>
      <c r="D407" s="307"/>
      <c r="E407" s="307"/>
      <c r="F407" s="307"/>
      <c r="G407" s="307"/>
      <c r="H407" s="308">
        <f t="shared" si="114"/>
        <v>40</v>
      </c>
      <c r="I407" s="307"/>
      <c r="J407" s="307">
        <v>40</v>
      </c>
      <c r="K407" s="310"/>
      <c r="L407" s="310"/>
      <c r="M407" s="310"/>
      <c r="N407" s="310"/>
      <c r="O407" s="312">
        <f>SUM(F407-I407)</f>
        <v>0</v>
      </c>
      <c r="P407" s="310"/>
    </row>
    <row r="408" spans="1:17" x14ac:dyDescent="0.25">
      <c r="A408" s="7" t="s">
        <v>436</v>
      </c>
      <c r="B408" s="7"/>
      <c r="C408" s="7"/>
      <c r="D408" s="7"/>
      <c r="E408" s="7"/>
      <c r="F408" s="7">
        <v>815</v>
      </c>
      <c r="G408" s="7"/>
      <c r="H408" s="305">
        <f t="shared" si="114"/>
        <v>827</v>
      </c>
      <c r="I408" s="7">
        <v>528</v>
      </c>
      <c r="J408" s="7">
        <v>299</v>
      </c>
      <c r="O408" s="306">
        <f>SUM(F408-H408)</f>
        <v>-12</v>
      </c>
      <c r="P408" t="s">
        <v>437</v>
      </c>
      <c r="Q408" t="s">
        <v>438</v>
      </c>
    </row>
    <row r="409" spans="1:17" x14ac:dyDescent="0.25">
      <c r="A409" s="7" t="s">
        <v>439</v>
      </c>
      <c r="B409" s="7"/>
      <c r="C409" s="7"/>
      <c r="D409" s="7"/>
      <c r="E409" s="7"/>
      <c r="F409" s="7">
        <v>150</v>
      </c>
      <c r="G409" s="7"/>
      <c r="H409" s="305">
        <f t="shared" si="114"/>
        <v>114</v>
      </c>
      <c r="I409" s="7">
        <v>108</v>
      </c>
      <c r="J409" s="7">
        <v>6</v>
      </c>
      <c r="O409" s="306">
        <f>SUM(F409-H409)</f>
        <v>36</v>
      </c>
      <c r="P409" t="s">
        <v>437</v>
      </c>
      <c r="Q409" t="s">
        <v>440</v>
      </c>
    </row>
    <row r="410" spans="1:17" x14ac:dyDescent="0.25">
      <c r="A410" s="7" t="s">
        <v>441</v>
      </c>
      <c r="B410" s="7"/>
      <c r="C410" s="7"/>
      <c r="D410" s="7"/>
      <c r="E410" s="7"/>
      <c r="F410" s="7">
        <v>114</v>
      </c>
      <c r="G410" s="7"/>
      <c r="H410" s="305">
        <f t="shared" si="114"/>
        <v>114</v>
      </c>
      <c r="I410" s="7">
        <v>114</v>
      </c>
      <c r="J410" s="7"/>
      <c r="O410" s="306">
        <f>SUM(F410-H410)</f>
        <v>0</v>
      </c>
      <c r="Q410" t="s">
        <v>442</v>
      </c>
    </row>
    <row r="411" spans="1:17" x14ac:dyDescent="0.25">
      <c r="A411" s="7" t="s">
        <v>443</v>
      </c>
      <c r="B411" s="7"/>
      <c r="C411" s="7"/>
      <c r="D411" s="7"/>
      <c r="E411" s="7"/>
      <c r="F411" s="7">
        <v>405</v>
      </c>
      <c r="G411" s="7"/>
      <c r="H411" s="305">
        <f t="shared" si="114"/>
        <v>424</v>
      </c>
      <c r="I411" s="7">
        <v>333</v>
      </c>
      <c r="J411">
        <v>91</v>
      </c>
      <c r="O411" s="306">
        <f>SUM(F411-H411)</f>
        <v>-19</v>
      </c>
      <c r="P411" t="s">
        <v>437</v>
      </c>
      <c r="Q411" t="s">
        <v>444</v>
      </c>
    </row>
    <row r="412" spans="1:17" x14ac:dyDescent="0.25">
      <c r="A412" s="7" t="s">
        <v>445</v>
      </c>
      <c r="B412" s="7"/>
      <c r="C412" s="7"/>
      <c r="D412" s="7"/>
      <c r="E412" s="7"/>
      <c r="F412" s="7">
        <v>215</v>
      </c>
      <c r="G412" s="7"/>
      <c r="H412" s="305">
        <f t="shared" si="114"/>
        <v>203</v>
      </c>
      <c r="I412" s="7">
        <v>21</v>
      </c>
      <c r="J412" s="7">
        <v>182</v>
      </c>
      <c r="O412" s="306">
        <f>SUM(F412-H412)</f>
        <v>12</v>
      </c>
      <c r="P412" t="s">
        <v>437</v>
      </c>
      <c r="Q412" t="s">
        <v>446</v>
      </c>
    </row>
    <row r="413" spans="1:17" x14ac:dyDescent="0.25">
      <c r="A413" s="7" t="s">
        <v>447</v>
      </c>
      <c r="B413" s="7"/>
      <c r="C413" s="7"/>
      <c r="D413" s="7"/>
      <c r="E413" s="7"/>
      <c r="F413" s="7">
        <v>11</v>
      </c>
      <c r="G413" s="7"/>
      <c r="H413" s="305">
        <f t="shared" si="114"/>
        <v>12</v>
      </c>
      <c r="I413" s="7">
        <v>11</v>
      </c>
      <c r="J413" s="7">
        <v>1</v>
      </c>
      <c r="O413" s="302">
        <f t="shared" si="113"/>
        <v>0</v>
      </c>
      <c r="P413" t="s">
        <v>437</v>
      </c>
      <c r="Q413" t="s">
        <v>448</v>
      </c>
    </row>
    <row r="414" spans="1:17" x14ac:dyDescent="0.25">
      <c r="A414" s="7" t="s">
        <v>449</v>
      </c>
      <c r="B414" s="7"/>
      <c r="C414" s="7"/>
      <c r="D414" s="7"/>
      <c r="E414" s="7"/>
      <c r="F414" s="7">
        <v>221</v>
      </c>
      <c r="G414" s="7"/>
      <c r="H414" s="305">
        <f t="shared" si="114"/>
        <v>181</v>
      </c>
      <c r="I414" s="7">
        <v>181</v>
      </c>
      <c r="J414" s="7"/>
      <c r="O414" s="302">
        <f t="shared" si="113"/>
        <v>40</v>
      </c>
      <c r="P414" t="s">
        <v>437</v>
      </c>
      <c r="Q414" t="s">
        <v>450</v>
      </c>
    </row>
    <row r="415" spans="1:17" x14ac:dyDescent="0.25">
      <c r="A415" s="7" t="s">
        <v>451</v>
      </c>
      <c r="B415" s="7"/>
      <c r="C415" s="7"/>
      <c r="D415" s="7"/>
      <c r="E415" s="7"/>
      <c r="F415" s="7">
        <v>4987</v>
      </c>
      <c r="G415" s="7"/>
      <c r="H415" s="305">
        <f t="shared" si="114"/>
        <v>4969</v>
      </c>
      <c r="I415" s="7">
        <v>1968</v>
      </c>
      <c r="J415" s="7">
        <v>3001</v>
      </c>
      <c r="O415" s="302">
        <f>SUM(F415-H415)</f>
        <v>18</v>
      </c>
      <c r="P415" t="s">
        <v>437</v>
      </c>
      <c r="Q415" t="s">
        <v>452</v>
      </c>
    </row>
    <row r="416" spans="1:17" x14ac:dyDescent="0.25">
      <c r="A416" s="7" t="s">
        <v>453</v>
      </c>
      <c r="B416" s="7"/>
      <c r="C416" s="7"/>
      <c r="D416" s="7"/>
      <c r="E416" s="7"/>
      <c r="F416" s="7">
        <v>73</v>
      </c>
      <c r="G416" s="7"/>
      <c r="H416" s="305">
        <f t="shared" si="114"/>
        <v>91</v>
      </c>
      <c r="I416" s="7">
        <v>91</v>
      </c>
      <c r="J416" s="7"/>
      <c r="O416" s="302">
        <f t="shared" si="113"/>
        <v>-18</v>
      </c>
      <c r="P416" t="s">
        <v>437</v>
      </c>
      <c r="Q416" t="s">
        <v>454</v>
      </c>
    </row>
    <row r="417" spans="1:24" x14ac:dyDescent="0.25">
      <c r="A417" s="7" t="s">
        <v>455</v>
      </c>
      <c r="B417" s="7"/>
      <c r="C417" s="7"/>
      <c r="D417" s="7"/>
      <c r="E417" s="7"/>
      <c r="F417" s="7">
        <v>270</v>
      </c>
      <c r="G417" s="7"/>
      <c r="H417" s="305">
        <f t="shared" si="114"/>
        <v>294</v>
      </c>
      <c r="I417" s="7">
        <v>161</v>
      </c>
      <c r="J417" s="7">
        <v>133</v>
      </c>
      <c r="O417" s="302">
        <f>SUM(F417-H417)</f>
        <v>-24</v>
      </c>
      <c r="P417" t="s">
        <v>437</v>
      </c>
      <c r="Q417" t="s">
        <v>456</v>
      </c>
    </row>
    <row r="418" spans="1:24" x14ac:dyDescent="0.25">
      <c r="A418" s="7" t="s">
        <v>457</v>
      </c>
      <c r="B418" s="7"/>
      <c r="C418" s="7"/>
      <c r="D418" s="7"/>
      <c r="E418" s="7"/>
      <c r="F418" s="7">
        <v>51</v>
      </c>
      <c r="G418" s="7"/>
      <c r="H418" s="305">
        <f t="shared" si="114"/>
        <v>41</v>
      </c>
      <c r="I418" s="7">
        <v>41</v>
      </c>
      <c r="J418" s="7"/>
      <c r="O418" s="302">
        <f t="shared" si="113"/>
        <v>10</v>
      </c>
      <c r="Q418" t="s">
        <v>458</v>
      </c>
    </row>
    <row r="419" spans="1:24" x14ac:dyDescent="0.25">
      <c r="A419" s="7" t="s">
        <v>459</v>
      </c>
      <c r="F419" s="7">
        <v>71</v>
      </c>
      <c r="H419" s="305">
        <f t="shared" si="114"/>
        <v>71</v>
      </c>
      <c r="I419" s="7">
        <v>71</v>
      </c>
      <c r="J419" s="7"/>
      <c r="O419" s="302">
        <f t="shared" si="113"/>
        <v>0</v>
      </c>
      <c r="Q419" t="s">
        <v>460</v>
      </c>
    </row>
    <row r="420" spans="1:24" x14ac:dyDescent="0.25">
      <c r="A420" s="271" t="s">
        <v>461</v>
      </c>
      <c r="B420" s="271"/>
      <c r="C420" s="271"/>
      <c r="D420" s="271"/>
      <c r="E420" s="271"/>
      <c r="F420" s="271"/>
      <c r="G420" s="271"/>
      <c r="H420" s="313">
        <f t="shared" si="114"/>
        <v>70</v>
      </c>
      <c r="I420" s="271">
        <v>65</v>
      </c>
      <c r="J420" s="7">
        <v>5</v>
      </c>
      <c r="O420" s="306">
        <f>SUM(F420-H420)</f>
        <v>-70</v>
      </c>
      <c r="P420" t="s">
        <v>437</v>
      </c>
      <c r="Q420" t="s">
        <v>462</v>
      </c>
    </row>
    <row r="421" spans="1:24" x14ac:dyDescent="0.25">
      <c r="A421" s="7" t="s">
        <v>463</v>
      </c>
      <c r="F421">
        <v>45</v>
      </c>
      <c r="H421" s="305">
        <f t="shared" si="114"/>
        <v>141</v>
      </c>
      <c r="I421" s="7">
        <v>141</v>
      </c>
      <c r="J421" s="7"/>
      <c r="O421" s="302">
        <f t="shared" si="113"/>
        <v>-96</v>
      </c>
      <c r="Q421" t="s">
        <v>464</v>
      </c>
    </row>
    <row r="422" spans="1:24" x14ac:dyDescent="0.25">
      <c r="A422" s="7" t="s">
        <v>465</v>
      </c>
      <c r="F422" s="7">
        <v>288</v>
      </c>
      <c r="H422" s="305">
        <f t="shared" si="114"/>
        <v>352</v>
      </c>
      <c r="I422" s="7">
        <v>240</v>
      </c>
      <c r="J422" s="7">
        <v>112</v>
      </c>
      <c r="O422" s="302">
        <f>SUM(F422-H422)</f>
        <v>-64</v>
      </c>
      <c r="P422" t="s">
        <v>437</v>
      </c>
    </row>
    <row r="423" spans="1:24" x14ac:dyDescent="0.25">
      <c r="A423" s="7" t="s">
        <v>466</v>
      </c>
      <c r="F423" s="7">
        <v>4150</v>
      </c>
      <c r="H423" s="305">
        <f t="shared" si="114"/>
        <v>4150</v>
      </c>
      <c r="J423">
        <v>4150</v>
      </c>
      <c r="O423" s="302">
        <f>SUM(F423-H423)</f>
        <v>0</v>
      </c>
      <c r="P423" t="s">
        <v>437</v>
      </c>
    </row>
    <row r="424" spans="1:24" x14ac:dyDescent="0.25">
      <c r="F424" s="60">
        <f>SUM(F404:F423)</f>
        <v>12648</v>
      </c>
      <c r="G424" s="60"/>
      <c r="H424" s="314">
        <f>SUM(H404:H423)</f>
        <v>13302</v>
      </c>
      <c r="T424" t="s">
        <v>467</v>
      </c>
      <c r="U424" t="s">
        <v>468</v>
      </c>
    </row>
    <row r="425" spans="1:24" x14ac:dyDescent="0.25">
      <c r="T425" s="15">
        <v>35.1</v>
      </c>
      <c r="U425" s="15">
        <v>15.5</v>
      </c>
      <c r="V425" s="315">
        <f>SUM(U425/T425)</f>
        <v>0.44159544159544156</v>
      </c>
      <c r="W425" s="15"/>
      <c r="X425" s="63">
        <v>0.3</v>
      </c>
    </row>
    <row r="426" spans="1:24" x14ac:dyDescent="0.25">
      <c r="T426" s="15">
        <v>61.4</v>
      </c>
      <c r="U426" s="15">
        <v>58</v>
      </c>
      <c r="V426" s="315">
        <f>SUM(U426/T426)</f>
        <v>0.94462540716612375</v>
      </c>
      <c r="W426" s="15"/>
      <c r="X426" s="316">
        <v>0.8</v>
      </c>
    </row>
    <row r="427" spans="1:24" x14ac:dyDescent="0.25">
      <c r="E427" s="303"/>
      <c r="F427" s="303"/>
      <c r="G427" s="303"/>
      <c r="H427" s="303"/>
      <c r="I427" s="303"/>
      <c r="J427" s="303"/>
      <c r="K427" s="303"/>
      <c r="T427" s="15">
        <v>35.1</v>
      </c>
      <c r="U427" s="15">
        <v>40.6</v>
      </c>
      <c r="V427" s="315">
        <f>SUM(U427/T427)</f>
        <v>1.1566951566951567</v>
      </c>
      <c r="W427" s="15"/>
      <c r="X427" s="89">
        <v>1</v>
      </c>
    </row>
    <row r="428" spans="1:24" x14ac:dyDescent="0.25">
      <c r="T428" s="15">
        <v>61.4</v>
      </c>
      <c r="U428" s="15">
        <v>50.7</v>
      </c>
      <c r="V428" s="315">
        <f>SUM(U428/T428)</f>
        <v>0.82573289902280134</v>
      </c>
      <c r="W428" s="15"/>
      <c r="X428" s="316">
        <v>0.7</v>
      </c>
    </row>
    <row r="429" spans="1:24" x14ac:dyDescent="0.25">
      <c r="T429" s="15"/>
      <c r="U429" s="15"/>
      <c r="V429" s="15"/>
      <c r="W429" s="15"/>
      <c r="X429" s="15"/>
    </row>
    <row r="430" spans="1:24" x14ac:dyDescent="0.25">
      <c r="A430" s="5">
        <v>1942</v>
      </c>
      <c r="C430" t="s">
        <v>92</v>
      </c>
      <c r="T430" s="15">
        <v>11.1</v>
      </c>
      <c r="U430" s="15">
        <v>6.4</v>
      </c>
      <c r="V430" s="315">
        <f>SUM(U430/T430)</f>
        <v>0.57657657657657657</v>
      </c>
      <c r="W430" s="15"/>
      <c r="X430" s="89">
        <v>0.4</v>
      </c>
    </row>
    <row r="431" spans="1:24" x14ac:dyDescent="0.25">
      <c r="A431" t="s">
        <v>82</v>
      </c>
      <c r="B431" s="120">
        <v>1</v>
      </c>
      <c r="C431" s="199">
        <v>13</v>
      </c>
      <c r="T431" s="15">
        <v>11.1</v>
      </c>
      <c r="U431" s="15">
        <v>6.9</v>
      </c>
      <c r="V431" s="315">
        <f>SUM(U431/T431)</f>
        <v>0.62162162162162171</v>
      </c>
      <c r="W431" s="15"/>
      <c r="X431" s="89">
        <v>0.5</v>
      </c>
    </row>
    <row r="432" spans="1:24" x14ac:dyDescent="0.25">
      <c r="A432" t="s">
        <v>280</v>
      </c>
      <c r="B432" s="120">
        <v>1.03</v>
      </c>
      <c r="C432" s="199">
        <v>8</v>
      </c>
      <c r="T432" s="15"/>
      <c r="U432" s="15"/>
      <c r="V432" s="15"/>
      <c r="W432" s="15"/>
      <c r="X432" s="15"/>
    </row>
    <row r="433" spans="1:24" x14ac:dyDescent="0.25">
      <c r="A433" t="s">
        <v>281</v>
      </c>
      <c r="B433" s="120">
        <v>1.19</v>
      </c>
      <c r="C433" s="199">
        <v>6</v>
      </c>
      <c r="T433" s="15">
        <v>38.4</v>
      </c>
      <c r="U433" s="15">
        <v>12.8</v>
      </c>
      <c r="V433" s="315">
        <f>SUM(U433/T433)</f>
        <v>0.33333333333333337</v>
      </c>
      <c r="W433" s="15"/>
      <c r="X433" s="316">
        <v>0.2</v>
      </c>
    </row>
    <row r="434" spans="1:24" x14ac:dyDescent="0.25">
      <c r="A434" t="s">
        <v>469</v>
      </c>
      <c r="B434" s="120">
        <v>1.04</v>
      </c>
      <c r="C434" s="199">
        <v>5</v>
      </c>
      <c r="T434" s="15"/>
      <c r="U434" s="15"/>
      <c r="V434" s="15"/>
      <c r="W434" s="15"/>
      <c r="X434" s="15"/>
    </row>
    <row r="435" spans="1:24" x14ac:dyDescent="0.25">
      <c r="A435" t="s">
        <v>283</v>
      </c>
      <c r="B435" s="120">
        <v>1.07</v>
      </c>
      <c r="C435" s="199">
        <v>5</v>
      </c>
      <c r="T435" s="15"/>
      <c r="U435" s="15"/>
      <c r="V435" s="15"/>
      <c r="W435" s="15"/>
      <c r="X435" s="15"/>
    </row>
    <row r="436" spans="1:24" x14ac:dyDescent="0.25">
      <c r="A436" t="s">
        <v>72</v>
      </c>
      <c r="B436" s="120">
        <v>1.18</v>
      </c>
      <c r="C436" s="199">
        <v>5</v>
      </c>
      <c r="T436" s="15"/>
      <c r="U436" s="15"/>
      <c r="V436" s="15"/>
      <c r="W436" s="15"/>
      <c r="X436" s="15"/>
    </row>
    <row r="437" spans="1:24" x14ac:dyDescent="0.25">
      <c r="B437" s="120"/>
      <c r="C437" s="199"/>
      <c r="T437" s="15"/>
      <c r="U437" s="15"/>
      <c r="V437" s="15"/>
      <c r="W437" s="15"/>
      <c r="X437" s="15"/>
    </row>
    <row r="438" spans="1:24" x14ac:dyDescent="0.25">
      <c r="C438" s="199"/>
      <c r="T438" s="15"/>
      <c r="U438" s="15"/>
      <c r="V438" s="15"/>
      <c r="W438" s="15"/>
      <c r="X438" s="15"/>
    </row>
    <row r="439" spans="1:24" x14ac:dyDescent="0.25">
      <c r="C439" s="199"/>
      <c r="T439" s="15"/>
      <c r="U439" s="15"/>
      <c r="V439" s="15"/>
      <c r="W439" s="15"/>
      <c r="X439" s="15"/>
    </row>
    <row r="440" spans="1:24" x14ac:dyDescent="0.25">
      <c r="C440" s="199"/>
      <c r="T440" s="15">
        <v>41.3</v>
      </c>
      <c r="U440" s="15">
        <v>47</v>
      </c>
      <c r="V440" s="315">
        <f>SUM(U440/T440)</f>
        <v>1.1380145278450364</v>
      </c>
      <c r="W440" s="15"/>
      <c r="X440" s="317">
        <v>0.9</v>
      </c>
    </row>
    <row r="441" spans="1:24" x14ac:dyDescent="0.25">
      <c r="C441" s="199"/>
      <c r="T441" s="15">
        <v>41.4</v>
      </c>
      <c r="U441" s="15">
        <v>6.9</v>
      </c>
      <c r="V441" s="315">
        <f>SUM(U441/T441)</f>
        <v>0.16666666666666669</v>
      </c>
      <c r="W441" s="15"/>
      <c r="X441" s="317">
        <v>0.2</v>
      </c>
    </row>
    <row r="442" spans="1:24" x14ac:dyDescent="0.25">
      <c r="C442" s="199"/>
      <c r="T442" s="15"/>
      <c r="U442" s="15"/>
      <c r="V442" s="15"/>
      <c r="W442" s="15"/>
      <c r="X442" s="15"/>
    </row>
    <row r="443" spans="1:24" x14ac:dyDescent="0.25">
      <c r="C443" s="199"/>
      <c r="T443" s="15"/>
      <c r="U443" s="15"/>
      <c r="V443" s="15"/>
      <c r="W443" s="15"/>
      <c r="X443" s="15"/>
    </row>
    <row r="444" spans="1:24" x14ac:dyDescent="0.25">
      <c r="C444" s="199"/>
      <c r="T444" s="15"/>
      <c r="U444" s="15"/>
      <c r="V444" s="15"/>
      <c r="W444" s="15"/>
      <c r="X444" s="15"/>
    </row>
    <row r="445" spans="1:24" x14ac:dyDescent="0.25">
      <c r="C445" s="199"/>
      <c r="T445" s="15"/>
      <c r="U445" s="15"/>
      <c r="V445" s="15"/>
      <c r="W445" s="15"/>
      <c r="X445" s="15"/>
    </row>
    <row r="446" spans="1:24" x14ac:dyDescent="0.25">
      <c r="C446" s="199"/>
      <c r="T446" s="15"/>
      <c r="U446" s="15"/>
      <c r="V446" s="15"/>
      <c r="W446" s="15"/>
      <c r="X446" s="15"/>
    </row>
    <row r="447" spans="1:24" x14ac:dyDescent="0.25">
      <c r="C447" s="199"/>
      <c r="T447" s="15"/>
      <c r="U447" s="15"/>
      <c r="V447" s="15"/>
      <c r="W447" s="15"/>
      <c r="X447" s="15"/>
    </row>
    <row r="448" spans="1:24" x14ac:dyDescent="0.25">
      <c r="T448" s="15"/>
      <c r="U448" s="15"/>
      <c r="V448" s="15"/>
      <c r="W448" s="15"/>
      <c r="X448" s="15"/>
    </row>
    <row r="449" spans="20:24" x14ac:dyDescent="0.25">
      <c r="T449" s="15"/>
      <c r="U449" s="15"/>
      <c r="V449" s="15"/>
      <c r="W449" s="15"/>
      <c r="X449" s="15"/>
    </row>
    <row r="450" spans="20:24" x14ac:dyDescent="0.25">
      <c r="T450" s="15"/>
      <c r="U450" s="15"/>
      <c r="V450" s="15"/>
      <c r="W450" s="15"/>
      <c r="X450" s="15"/>
    </row>
  </sheetData>
  <mergeCells count="8">
    <mergeCell ref="N322:O322"/>
    <mergeCell ref="S4:W4"/>
    <mergeCell ref="F30:G30"/>
    <mergeCell ref="F54:G54"/>
    <mergeCell ref="V149:W149"/>
    <mergeCell ref="N293:O293"/>
    <mergeCell ref="F296:G296"/>
    <mergeCell ref="N296:O29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Lalak</dc:creator>
  <cp:lastModifiedBy>Artur Lalak</cp:lastModifiedBy>
  <dcterms:created xsi:type="dcterms:W3CDTF">2025-11-28T11:27:29Z</dcterms:created>
  <dcterms:modified xsi:type="dcterms:W3CDTF">2025-11-28T11:29:58Z</dcterms:modified>
</cp:coreProperties>
</file>